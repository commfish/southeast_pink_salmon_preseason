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theast_pink_salmon_preseason\2027_forecast\data\"/>
    </mc:Choice>
  </mc:AlternateContent>
  <xr:revisionPtr revIDLastSave="0" documentId="8_{D3330480-FFB0-4327-9FE2-431A2820F3B9}" xr6:coauthVersionLast="47" xr6:coauthVersionMax="47" xr10:uidLastSave="{00000000-0000-0000-0000-000000000000}"/>
  <bookViews>
    <workbookView xWindow="28680" yWindow="1755" windowWidth="29040" windowHeight="15720" xr2:uid="{61603476-F776-47FD-8417-9ABB496062B9}"/>
  </bookViews>
  <sheets>
    <sheet name="model_summary_table1_multi" sheetId="1" r:id="rId1"/>
  </sheets>
  <calcPr calcId="0"/>
</workbook>
</file>

<file path=xl/calcChain.xml><?xml version="1.0" encoding="utf-8"?>
<calcChain xmlns="http://schemas.openxmlformats.org/spreadsheetml/2006/main">
  <c r="Q2" i="1" l="1"/>
  <c r="P2" i="1"/>
</calcChain>
</file>

<file path=xl/sharedStrings.xml><?xml version="1.0" encoding="utf-8"?>
<sst xmlns="http://schemas.openxmlformats.org/spreadsheetml/2006/main" count="360" uniqueCount="62">
  <si>
    <t>Model</t>
  </si>
  <si>
    <t>Term</t>
  </si>
  <si>
    <t>Estimate</t>
  </si>
  <si>
    <t>Standard Error</t>
  </si>
  <si>
    <t>Statistic</t>
  </si>
  <si>
    <t>p value</t>
  </si>
  <si>
    <t>m1</t>
  </si>
  <si>
    <t>(Intercept)</t>
  </si>
  <si>
    <t>as.factor(odd_even_factor)odd</t>
  </si>
  <si>
    <t>as.factor(vessel)Medeia</t>
  </si>
  <si>
    <t>as.factor(vessel)NW Explorer</t>
  </si>
  <si>
    <t>adj_raw_pink_log</t>
  </si>
  <si>
    <t>as.factor(vessel)Medeia:adj_raw_pink_log</t>
  </si>
  <si>
    <t>as.factor(vessel)NW Explorer:adj_raw_pink_log</t>
  </si>
  <si>
    <t>m2</t>
  </si>
  <si>
    <t>ISTI20_JJ</t>
  </si>
  <si>
    <t>m3</t>
  </si>
  <si>
    <t>Chatham_SST_May</t>
  </si>
  <si>
    <t>m4</t>
  </si>
  <si>
    <t>Chatham_SST_MJJ</t>
  </si>
  <si>
    <t>m5</t>
  </si>
  <si>
    <t>Chatham_SST_AMJ</t>
  </si>
  <si>
    <t>m6</t>
  </si>
  <si>
    <t>Chatham_SST_AMJJ</t>
  </si>
  <si>
    <t>m7</t>
  </si>
  <si>
    <t>Icy_Strait_SST_May</t>
  </si>
  <si>
    <t>m8</t>
  </si>
  <si>
    <t>Icy_Strait_SST_MJJ</t>
  </si>
  <si>
    <t>m9</t>
  </si>
  <si>
    <t>Icy_Strait_SST_AMJ</t>
  </si>
  <si>
    <t>m10</t>
  </si>
  <si>
    <t>Icy_Strait_SST_AMJJ</t>
  </si>
  <si>
    <t>m11</t>
  </si>
  <si>
    <t>NSEAK_SST_May</t>
  </si>
  <si>
    <t>m12</t>
  </si>
  <si>
    <t>NSEAK_SST_MJJ</t>
  </si>
  <si>
    <t>m13</t>
  </si>
  <si>
    <t>NSEAK_SST_AMJ</t>
  </si>
  <si>
    <t>m14</t>
  </si>
  <si>
    <t>NSEAK_SST_AMJJ</t>
  </si>
  <si>
    <t>m15</t>
  </si>
  <si>
    <t>SEAK_SST_May</t>
  </si>
  <si>
    <t>m16</t>
  </si>
  <si>
    <t>SEAK_SST_MJJ</t>
  </si>
  <si>
    <t>m17</t>
  </si>
  <si>
    <t>SEAK_SST_AMJ</t>
  </si>
  <si>
    <t>m18</t>
  </si>
  <si>
    <t>SEAK_SST_AMJJ</t>
  </si>
  <si>
    <t>JYear</t>
  </si>
  <si>
    <t>Year</t>
  </si>
  <si>
    <t>Harvest</t>
  </si>
  <si>
    <t>odd_even_factor</t>
  </si>
  <si>
    <t>vessel</t>
  </si>
  <si>
    <t>CPUE</t>
  </si>
  <si>
    <t>even</t>
  </si>
  <si>
    <t>Cobb</t>
  </si>
  <si>
    <t>odd</t>
  </si>
  <si>
    <t>Steller</t>
  </si>
  <si>
    <t>Chellissa</t>
  </si>
  <si>
    <t>NW Explorer</t>
  </si>
  <si>
    <t>Medeia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</si>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</sst>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21A30-5999-4811-A544-787B61A401BD}">
  <dimension ref="A1:Q144"/>
  <sheetViews>
    <sheetView tabSelected="1" workbookViewId="0">
      <selection activeCell="Q3" sqref="Q3"/>
    </sheetView>
  </sheetViews>
  <sheetFormatPr defaultRowHeight="14.4" x14ac:dyDescent="0.3"/>
  <cols>
    <col min="2" max="2" width="42.2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11</v>
      </c>
      <c r="N1" t="s">
        <v>53</v>
      </c>
    </row>
    <row r="2" spans="1:17" x14ac:dyDescent="0.3">
      <c r="A2" s="2" t="s">
        <v>6</v>
      </c>
      <c r="B2" s="2" t="s">
        <v>7</v>
      </c>
      <c r="C2" s="2">
        <v>1.306</v>
      </c>
      <c r="D2" s="2">
        <v>0.96599999999999997</v>
      </c>
      <c r="E2" s="2">
        <v>1.353</v>
      </c>
      <c r="F2" s="2">
        <v>0.191</v>
      </c>
      <c r="H2">
        <v>1997</v>
      </c>
      <c r="I2">
        <v>1998</v>
      </c>
      <c r="J2">
        <v>42.4</v>
      </c>
      <c r="K2" t="s">
        <v>54</v>
      </c>
      <c r="L2" t="s">
        <v>55</v>
      </c>
      <c r="M2">
        <v>5.33</v>
      </c>
      <c r="N2">
        <v>2.48</v>
      </c>
      <c r="P2">
        <f>C2+C7*M31+C3+C4+C6*M31</f>
        <v>2.89027908</v>
      </c>
      <c r="Q2">
        <f>EXP(P2)</f>
        <v>17.998331875169381</v>
      </c>
    </row>
    <row r="3" spans="1:17" x14ac:dyDescent="0.3">
      <c r="A3" s="2" t="s">
        <v>6</v>
      </c>
      <c r="B3" s="2" t="s">
        <v>8</v>
      </c>
      <c r="C3" s="2">
        <v>0.35099999999999998</v>
      </c>
      <c r="D3" s="2">
        <v>0.23100000000000001</v>
      </c>
      <c r="E3" s="2">
        <v>1.522</v>
      </c>
      <c r="F3" s="2">
        <v>0.14399999999999999</v>
      </c>
      <c r="H3">
        <v>1998</v>
      </c>
      <c r="I3">
        <v>1999</v>
      </c>
      <c r="J3">
        <v>77.8</v>
      </c>
      <c r="K3" t="s">
        <v>56</v>
      </c>
      <c r="L3" t="s">
        <v>55</v>
      </c>
      <c r="M3">
        <v>7.14</v>
      </c>
      <c r="N3">
        <v>5.62</v>
      </c>
    </row>
    <row r="4" spans="1:17" x14ac:dyDescent="0.3">
      <c r="A4" s="2" t="s">
        <v>6</v>
      </c>
      <c r="B4" s="2" t="s">
        <v>9</v>
      </c>
      <c r="C4" s="2">
        <v>2.585</v>
      </c>
      <c r="D4" s="2">
        <v>1.6679999999999999</v>
      </c>
      <c r="E4" s="2">
        <v>1.55</v>
      </c>
      <c r="F4" s="2">
        <v>0.13700000000000001</v>
      </c>
      <c r="H4">
        <v>1999</v>
      </c>
      <c r="I4">
        <v>2000</v>
      </c>
      <c r="J4">
        <v>20.2</v>
      </c>
      <c r="K4" t="s">
        <v>54</v>
      </c>
      <c r="L4" t="s">
        <v>55</v>
      </c>
      <c r="M4">
        <v>5.05</v>
      </c>
      <c r="N4">
        <v>1.6</v>
      </c>
    </row>
    <row r="5" spans="1:17" x14ac:dyDescent="0.3">
      <c r="A5" s="2" t="s">
        <v>6</v>
      </c>
      <c r="B5" s="2" t="s">
        <v>10</v>
      </c>
      <c r="C5" s="2">
        <v>-0.11799999999999999</v>
      </c>
      <c r="D5" s="2">
        <v>1.0629999999999999</v>
      </c>
      <c r="E5" s="2">
        <v>-0.111</v>
      </c>
      <c r="F5" s="2">
        <v>0.91200000000000003</v>
      </c>
      <c r="H5">
        <v>2000</v>
      </c>
      <c r="I5">
        <v>2001</v>
      </c>
      <c r="J5">
        <v>67</v>
      </c>
      <c r="K5" t="s">
        <v>56</v>
      </c>
      <c r="L5" t="s">
        <v>55</v>
      </c>
      <c r="M5">
        <v>6.39</v>
      </c>
      <c r="N5">
        <v>3.73</v>
      </c>
    </row>
    <row r="6" spans="1:17" x14ac:dyDescent="0.3">
      <c r="A6" s="2" t="s">
        <v>6</v>
      </c>
      <c r="B6" s="2" t="s">
        <v>11</v>
      </c>
      <c r="C6" s="2">
        <v>0.38100000000000001</v>
      </c>
      <c r="D6" s="2">
        <v>0.17899999999999999</v>
      </c>
      <c r="E6" s="2">
        <v>2.1339999999999999</v>
      </c>
      <c r="F6" s="2">
        <v>4.4999999999999998E-2</v>
      </c>
      <c r="H6">
        <v>2001</v>
      </c>
      <c r="I6">
        <v>2002</v>
      </c>
      <c r="J6">
        <v>45.3</v>
      </c>
      <c r="K6" t="s">
        <v>54</v>
      </c>
      <c r="L6" t="s">
        <v>55</v>
      </c>
      <c r="M6">
        <v>5.5</v>
      </c>
      <c r="N6">
        <v>2.87</v>
      </c>
    </row>
    <row r="7" spans="1:17" x14ac:dyDescent="0.3">
      <c r="A7" s="2" t="s">
        <v>6</v>
      </c>
      <c r="B7" s="2" t="s">
        <v>12</v>
      </c>
      <c r="C7" s="2">
        <v>-0.60099999999999998</v>
      </c>
      <c r="D7" s="2">
        <v>0.34200000000000003</v>
      </c>
      <c r="E7" s="2">
        <v>-1.76</v>
      </c>
      <c r="F7" s="2">
        <v>9.4E-2</v>
      </c>
      <c r="H7">
        <v>2002</v>
      </c>
      <c r="I7" s="1">
        <v>2003</v>
      </c>
      <c r="J7" s="1">
        <v>52.5</v>
      </c>
      <c r="K7" s="1" t="s">
        <v>56</v>
      </c>
      <c r="L7" s="1" t="s">
        <v>55</v>
      </c>
      <c r="M7" s="1">
        <v>6.11</v>
      </c>
      <c r="N7">
        <v>2.78</v>
      </c>
    </row>
    <row r="8" spans="1:17" x14ac:dyDescent="0.3">
      <c r="A8" s="2" t="s">
        <v>6</v>
      </c>
      <c r="B8" s="2" t="s">
        <v>13</v>
      </c>
      <c r="C8" s="2">
        <v>-8.7999999999999995E-2</v>
      </c>
      <c r="D8" s="2">
        <v>0.17499999999999999</v>
      </c>
      <c r="E8" s="2">
        <v>-0.503</v>
      </c>
      <c r="F8" s="2">
        <v>0.621</v>
      </c>
      <c r="H8">
        <v>2003</v>
      </c>
      <c r="I8">
        <v>2004</v>
      </c>
      <c r="J8">
        <v>45.3</v>
      </c>
      <c r="K8" t="s">
        <v>54</v>
      </c>
      <c r="L8" t="s">
        <v>55</v>
      </c>
      <c r="M8">
        <v>5.32</v>
      </c>
      <c r="N8">
        <v>3.08</v>
      </c>
    </row>
    <row r="9" spans="1:17" x14ac:dyDescent="0.3">
      <c r="A9" t="s">
        <v>14</v>
      </c>
      <c r="B9" t="s">
        <v>7</v>
      </c>
      <c r="C9">
        <v>4.3099999999999996</v>
      </c>
      <c r="D9">
        <v>1.7350000000000001</v>
      </c>
      <c r="E9">
        <v>2.4849999999999999</v>
      </c>
      <c r="F9">
        <v>2.1999999999999999E-2</v>
      </c>
      <c r="H9">
        <v>2004</v>
      </c>
      <c r="I9">
        <v>2005</v>
      </c>
      <c r="J9">
        <v>59.1</v>
      </c>
      <c r="K9" t="s">
        <v>56</v>
      </c>
      <c r="L9" t="s">
        <v>55</v>
      </c>
      <c r="M9">
        <v>6.8</v>
      </c>
      <c r="N9">
        <v>3.9</v>
      </c>
    </row>
    <row r="10" spans="1:17" x14ac:dyDescent="0.3">
      <c r="A10" t="s">
        <v>14</v>
      </c>
      <c r="B10" t="s">
        <v>8</v>
      </c>
      <c r="C10">
        <v>0.22</v>
      </c>
      <c r="D10">
        <v>0.224</v>
      </c>
      <c r="E10">
        <v>0.98199999999999998</v>
      </c>
      <c r="F10">
        <v>0.33900000000000002</v>
      </c>
      <c r="H10">
        <v>2005</v>
      </c>
      <c r="I10">
        <v>2006</v>
      </c>
      <c r="J10">
        <v>11.6</v>
      </c>
      <c r="K10" t="s">
        <v>54</v>
      </c>
      <c r="L10" t="s">
        <v>55</v>
      </c>
      <c r="M10">
        <v>5.0599999999999996</v>
      </c>
      <c r="N10">
        <v>2.04</v>
      </c>
    </row>
    <row r="11" spans="1:17" x14ac:dyDescent="0.3">
      <c r="A11" t="s">
        <v>14</v>
      </c>
      <c r="B11" t="s">
        <v>9</v>
      </c>
      <c r="C11">
        <v>2.6509999999999998</v>
      </c>
      <c r="D11">
        <v>1.552</v>
      </c>
      <c r="E11">
        <v>1.708</v>
      </c>
      <c r="F11">
        <v>0.104</v>
      </c>
      <c r="H11">
        <v>2006</v>
      </c>
      <c r="I11">
        <v>2007</v>
      </c>
      <c r="J11">
        <v>44.8</v>
      </c>
      <c r="K11" t="s">
        <v>56</v>
      </c>
      <c r="L11" t="s">
        <v>55</v>
      </c>
      <c r="M11">
        <v>6.14</v>
      </c>
      <c r="N11">
        <v>2.57</v>
      </c>
    </row>
    <row r="12" spans="1:17" x14ac:dyDescent="0.3">
      <c r="A12" t="s">
        <v>14</v>
      </c>
      <c r="B12" t="s">
        <v>10</v>
      </c>
      <c r="C12">
        <v>-0.35699999999999998</v>
      </c>
      <c r="D12">
        <v>0.996</v>
      </c>
      <c r="E12">
        <v>-0.35799999999999998</v>
      </c>
      <c r="F12">
        <v>0.72399999999999998</v>
      </c>
      <c r="H12">
        <v>2007</v>
      </c>
      <c r="I12">
        <v>2008</v>
      </c>
      <c r="J12">
        <v>15.9</v>
      </c>
      <c r="K12" t="s">
        <v>54</v>
      </c>
      <c r="L12" t="s">
        <v>55</v>
      </c>
      <c r="M12">
        <v>3.85</v>
      </c>
      <c r="N12">
        <v>1.17</v>
      </c>
    </row>
    <row r="13" spans="1:17" x14ac:dyDescent="0.3">
      <c r="A13" t="s">
        <v>14</v>
      </c>
      <c r="B13" t="s">
        <v>15</v>
      </c>
      <c r="C13">
        <v>-0.32400000000000001</v>
      </c>
      <c r="D13">
        <v>0.16</v>
      </c>
      <c r="E13">
        <v>-2.0249999999999999</v>
      </c>
      <c r="F13">
        <v>5.7000000000000002E-2</v>
      </c>
      <c r="H13">
        <v>2008</v>
      </c>
      <c r="I13">
        <v>2009</v>
      </c>
      <c r="J13">
        <v>38</v>
      </c>
      <c r="K13" t="s">
        <v>56</v>
      </c>
      <c r="L13" t="s">
        <v>57</v>
      </c>
      <c r="M13">
        <v>6.64</v>
      </c>
      <c r="N13">
        <v>2.3199999999999998</v>
      </c>
    </row>
    <row r="14" spans="1:17" x14ac:dyDescent="0.3">
      <c r="A14" t="s">
        <v>14</v>
      </c>
      <c r="B14" t="s">
        <v>11</v>
      </c>
      <c r="C14">
        <v>0.438</v>
      </c>
      <c r="D14">
        <v>0.16800000000000001</v>
      </c>
      <c r="E14">
        <v>2.5990000000000002</v>
      </c>
      <c r="F14">
        <v>1.7999999999999999E-2</v>
      </c>
      <c r="H14">
        <v>2009</v>
      </c>
      <c r="I14">
        <v>2010</v>
      </c>
      <c r="J14">
        <v>24.1</v>
      </c>
      <c r="K14" t="s">
        <v>54</v>
      </c>
      <c r="L14" t="s">
        <v>58</v>
      </c>
      <c r="M14">
        <v>6.19</v>
      </c>
      <c r="N14">
        <v>2.33</v>
      </c>
    </row>
    <row r="15" spans="1:17" x14ac:dyDescent="0.3">
      <c r="A15" t="s">
        <v>14</v>
      </c>
      <c r="B15" t="s">
        <v>12</v>
      </c>
      <c r="C15">
        <v>-0.61</v>
      </c>
      <c r="D15">
        <v>0.318</v>
      </c>
      <c r="E15">
        <v>-1.919</v>
      </c>
      <c r="F15">
        <v>7.0000000000000007E-2</v>
      </c>
      <c r="H15">
        <v>2010</v>
      </c>
      <c r="I15">
        <v>2011</v>
      </c>
      <c r="J15">
        <v>58.9</v>
      </c>
      <c r="K15" t="s">
        <v>56</v>
      </c>
      <c r="L15" t="s">
        <v>59</v>
      </c>
      <c r="M15">
        <v>9.43</v>
      </c>
      <c r="N15">
        <v>4.1100000000000003</v>
      </c>
    </row>
    <row r="16" spans="1:17" x14ac:dyDescent="0.3">
      <c r="A16" t="s">
        <v>14</v>
      </c>
      <c r="B16" t="s">
        <v>13</v>
      </c>
      <c r="C16">
        <v>-7.1999999999999995E-2</v>
      </c>
      <c r="D16">
        <v>0.16300000000000001</v>
      </c>
      <c r="E16">
        <v>-0.441</v>
      </c>
      <c r="F16">
        <v>0.66400000000000003</v>
      </c>
      <c r="H16">
        <v>2011</v>
      </c>
      <c r="I16">
        <v>2012</v>
      </c>
      <c r="J16">
        <v>21.3</v>
      </c>
      <c r="K16" t="s">
        <v>54</v>
      </c>
      <c r="L16" t="s">
        <v>59</v>
      </c>
      <c r="M16">
        <v>5.71</v>
      </c>
      <c r="N16">
        <v>1.45</v>
      </c>
    </row>
    <row r="17" spans="1:14" x14ac:dyDescent="0.3">
      <c r="A17" t="s">
        <v>16</v>
      </c>
      <c r="B17" t="s">
        <v>7</v>
      </c>
      <c r="C17">
        <v>3.41</v>
      </c>
      <c r="D17">
        <v>1.224</v>
      </c>
      <c r="E17">
        <v>2.7850000000000001</v>
      </c>
      <c r="F17">
        <v>1.2E-2</v>
      </c>
      <c r="H17">
        <v>2012</v>
      </c>
      <c r="I17">
        <v>2013</v>
      </c>
      <c r="J17">
        <v>94.7</v>
      </c>
      <c r="K17" t="s">
        <v>56</v>
      </c>
      <c r="L17" t="s">
        <v>59</v>
      </c>
      <c r="M17">
        <v>8.52</v>
      </c>
      <c r="N17">
        <v>3.52</v>
      </c>
    </row>
    <row r="18" spans="1:14" x14ac:dyDescent="0.3">
      <c r="A18" t="s">
        <v>16</v>
      </c>
      <c r="B18" t="s">
        <v>8</v>
      </c>
      <c r="C18">
        <v>0.36199999999999999</v>
      </c>
      <c r="D18">
        <v>0.20699999999999999</v>
      </c>
      <c r="E18">
        <v>1.7509999999999999</v>
      </c>
      <c r="F18">
        <v>9.6000000000000002E-2</v>
      </c>
      <c r="H18">
        <v>2013</v>
      </c>
      <c r="I18">
        <v>2014</v>
      </c>
      <c r="J18">
        <v>37.200000000000003</v>
      </c>
      <c r="K18" t="s">
        <v>54</v>
      </c>
      <c r="L18" t="s">
        <v>59</v>
      </c>
      <c r="M18">
        <v>6.8</v>
      </c>
      <c r="N18">
        <v>2.14</v>
      </c>
    </row>
    <row r="19" spans="1:14" x14ac:dyDescent="0.3">
      <c r="A19" t="s">
        <v>16</v>
      </c>
      <c r="B19" t="s">
        <v>9</v>
      </c>
      <c r="C19">
        <v>2.532</v>
      </c>
      <c r="D19">
        <v>1.4950000000000001</v>
      </c>
      <c r="E19">
        <v>1.694</v>
      </c>
      <c r="F19">
        <v>0.107</v>
      </c>
      <c r="H19">
        <v>2014</v>
      </c>
      <c r="I19">
        <v>2015</v>
      </c>
      <c r="J19">
        <v>35.1</v>
      </c>
      <c r="K19" t="s">
        <v>56</v>
      </c>
      <c r="L19" t="s">
        <v>59</v>
      </c>
      <c r="M19">
        <v>7.67</v>
      </c>
      <c r="N19">
        <v>3.82</v>
      </c>
    </row>
    <row r="20" spans="1:14" x14ac:dyDescent="0.3">
      <c r="A20" t="s">
        <v>16</v>
      </c>
      <c r="B20" t="s">
        <v>10</v>
      </c>
      <c r="C20">
        <v>5.7000000000000002E-2</v>
      </c>
      <c r="D20">
        <v>0.95499999999999996</v>
      </c>
      <c r="E20">
        <v>0.06</v>
      </c>
      <c r="F20">
        <v>0.95299999999999996</v>
      </c>
      <c r="H20">
        <v>2015</v>
      </c>
      <c r="I20" s="1">
        <v>2016</v>
      </c>
      <c r="J20" s="1">
        <v>18.399999999999999</v>
      </c>
      <c r="K20" s="1" t="s">
        <v>54</v>
      </c>
      <c r="L20" s="1" t="s">
        <v>59</v>
      </c>
      <c r="M20" s="1">
        <v>6.72</v>
      </c>
      <c r="N20">
        <v>2.4500000000000002</v>
      </c>
    </row>
    <row r="21" spans="1:14" x14ac:dyDescent="0.3">
      <c r="A21" t="s">
        <v>16</v>
      </c>
      <c r="B21" t="s">
        <v>17</v>
      </c>
      <c r="C21">
        <v>-0.309</v>
      </c>
      <c r="D21">
        <v>0.127</v>
      </c>
      <c r="E21">
        <v>-2.4300000000000002</v>
      </c>
      <c r="F21">
        <v>2.5000000000000001E-2</v>
      </c>
      <c r="H21">
        <v>2016</v>
      </c>
      <c r="I21">
        <v>2017</v>
      </c>
      <c r="J21">
        <v>34.700000000000003</v>
      </c>
      <c r="K21" t="s">
        <v>56</v>
      </c>
      <c r="L21" t="s">
        <v>59</v>
      </c>
      <c r="M21">
        <v>7.94</v>
      </c>
      <c r="N21">
        <v>4.3499999999999996</v>
      </c>
    </row>
    <row r="22" spans="1:14" x14ac:dyDescent="0.3">
      <c r="A22" t="s">
        <v>16</v>
      </c>
      <c r="B22" t="s">
        <v>11</v>
      </c>
      <c r="C22">
        <v>0.41</v>
      </c>
      <c r="D22">
        <v>0.16</v>
      </c>
      <c r="E22">
        <v>2.5539999999999998</v>
      </c>
      <c r="F22">
        <v>1.9E-2</v>
      </c>
      <c r="H22">
        <v>2017</v>
      </c>
      <c r="I22">
        <v>2018</v>
      </c>
      <c r="J22">
        <v>8.1</v>
      </c>
      <c r="K22" t="s">
        <v>54</v>
      </c>
      <c r="L22" t="s">
        <v>59</v>
      </c>
      <c r="M22">
        <v>3.56</v>
      </c>
      <c r="N22">
        <v>0.35</v>
      </c>
    </row>
    <row r="23" spans="1:14" x14ac:dyDescent="0.3">
      <c r="A23" t="s">
        <v>16</v>
      </c>
      <c r="B23" t="s">
        <v>12</v>
      </c>
      <c r="C23">
        <v>-0.55900000000000005</v>
      </c>
      <c r="D23">
        <v>0.307</v>
      </c>
      <c r="E23">
        <v>-1.8220000000000001</v>
      </c>
      <c r="F23">
        <v>8.4000000000000005E-2</v>
      </c>
      <c r="H23">
        <v>2018</v>
      </c>
      <c r="I23">
        <v>2019</v>
      </c>
      <c r="J23">
        <v>21.1</v>
      </c>
      <c r="K23" t="s">
        <v>56</v>
      </c>
      <c r="L23" t="s">
        <v>60</v>
      </c>
      <c r="M23">
        <v>3.93</v>
      </c>
      <c r="N23">
        <v>1.17</v>
      </c>
    </row>
    <row r="24" spans="1:14" x14ac:dyDescent="0.3">
      <c r="A24" t="s">
        <v>16</v>
      </c>
      <c r="B24" t="s">
        <v>13</v>
      </c>
      <c r="C24">
        <v>-9.8000000000000004E-2</v>
      </c>
      <c r="D24">
        <v>0.157</v>
      </c>
      <c r="E24">
        <v>-0.622</v>
      </c>
      <c r="F24">
        <v>0.54100000000000004</v>
      </c>
      <c r="H24">
        <v>2019</v>
      </c>
      <c r="I24">
        <v>2020</v>
      </c>
      <c r="J24">
        <v>8.1</v>
      </c>
      <c r="K24" t="s">
        <v>54</v>
      </c>
      <c r="L24" t="s">
        <v>60</v>
      </c>
      <c r="M24">
        <v>5.32</v>
      </c>
      <c r="N24">
        <v>1.1399999999999999</v>
      </c>
    </row>
    <row r="25" spans="1:14" x14ac:dyDescent="0.3">
      <c r="A25" t="s">
        <v>18</v>
      </c>
      <c r="B25" t="s">
        <v>7</v>
      </c>
      <c r="C25">
        <v>3.944</v>
      </c>
      <c r="D25">
        <v>1.698</v>
      </c>
      <c r="E25">
        <v>2.323</v>
      </c>
      <c r="F25">
        <v>3.1E-2</v>
      </c>
      <c r="H25">
        <v>2020</v>
      </c>
      <c r="I25">
        <v>2021</v>
      </c>
      <c r="J25">
        <v>48.5</v>
      </c>
      <c r="K25" t="s">
        <v>56</v>
      </c>
      <c r="L25" t="s">
        <v>60</v>
      </c>
      <c r="M25">
        <v>4.41</v>
      </c>
      <c r="N25">
        <v>2.15</v>
      </c>
    </row>
    <row r="26" spans="1:14" x14ac:dyDescent="0.3">
      <c r="A26" t="s">
        <v>18</v>
      </c>
      <c r="B26" t="s">
        <v>8</v>
      </c>
      <c r="C26">
        <v>0.33800000000000002</v>
      </c>
      <c r="D26">
        <v>0.218</v>
      </c>
      <c r="E26">
        <v>1.5509999999999999</v>
      </c>
      <c r="F26">
        <v>0.13700000000000001</v>
      </c>
      <c r="H26">
        <v>2021</v>
      </c>
      <c r="I26">
        <v>2022</v>
      </c>
      <c r="J26">
        <v>18.3</v>
      </c>
      <c r="K26" t="s">
        <v>54</v>
      </c>
      <c r="L26" t="s">
        <v>60</v>
      </c>
      <c r="M26">
        <v>4.46</v>
      </c>
      <c r="N26">
        <v>0.87</v>
      </c>
    </row>
    <row r="27" spans="1:14" x14ac:dyDescent="0.3">
      <c r="A27" t="s">
        <v>18</v>
      </c>
      <c r="B27" t="s">
        <v>9</v>
      </c>
      <c r="C27">
        <v>2.6360000000000001</v>
      </c>
      <c r="D27">
        <v>1.5760000000000001</v>
      </c>
      <c r="E27">
        <v>1.6719999999999999</v>
      </c>
      <c r="F27">
        <v>0.111</v>
      </c>
      <c r="H27">
        <v>2022</v>
      </c>
      <c r="I27">
        <v>2023</v>
      </c>
      <c r="J27">
        <v>48.5</v>
      </c>
      <c r="K27" t="s">
        <v>56</v>
      </c>
      <c r="L27" t="s">
        <v>60</v>
      </c>
      <c r="M27">
        <v>4.33</v>
      </c>
      <c r="N27">
        <v>1.45</v>
      </c>
    </row>
    <row r="28" spans="1:14" x14ac:dyDescent="0.3">
      <c r="A28" t="s">
        <v>18</v>
      </c>
      <c r="B28" t="s">
        <v>10</v>
      </c>
      <c r="C28">
        <v>7.8E-2</v>
      </c>
      <c r="D28">
        <v>1.01</v>
      </c>
      <c r="E28">
        <v>7.8E-2</v>
      </c>
      <c r="F28">
        <v>0.93899999999999995</v>
      </c>
      <c r="H28">
        <v>2023</v>
      </c>
      <c r="I28">
        <v>2024</v>
      </c>
      <c r="J28">
        <v>20.100000000000001</v>
      </c>
      <c r="K28" t="s">
        <v>54</v>
      </c>
      <c r="L28" t="s">
        <v>60</v>
      </c>
      <c r="M28">
        <v>3.4</v>
      </c>
      <c r="N28">
        <v>1.19</v>
      </c>
    </row>
    <row r="29" spans="1:14" x14ac:dyDescent="0.3">
      <c r="A29" t="s">
        <v>18</v>
      </c>
      <c r="B29" t="s">
        <v>19</v>
      </c>
      <c r="C29">
        <v>-0.29099999999999998</v>
      </c>
      <c r="D29">
        <v>0.158</v>
      </c>
      <c r="E29">
        <v>-1.8420000000000001</v>
      </c>
      <c r="F29">
        <v>8.1000000000000003E-2</v>
      </c>
      <c r="H29">
        <v>2024</v>
      </c>
      <c r="I29">
        <v>2025</v>
      </c>
      <c r="J29">
        <v>21.4</v>
      </c>
      <c r="K29" t="s">
        <v>56</v>
      </c>
      <c r="L29" t="s">
        <v>60</v>
      </c>
      <c r="M29">
        <v>3.85</v>
      </c>
      <c r="N29">
        <v>1.66</v>
      </c>
    </row>
    <row r="30" spans="1:14" x14ac:dyDescent="0.3">
      <c r="A30" t="s">
        <v>18</v>
      </c>
      <c r="B30" t="s">
        <v>11</v>
      </c>
      <c r="C30">
        <v>0.41599999999999998</v>
      </c>
      <c r="D30">
        <v>0.17</v>
      </c>
      <c r="E30">
        <v>2.452</v>
      </c>
      <c r="F30">
        <v>2.4E-2</v>
      </c>
      <c r="H30">
        <v>2025</v>
      </c>
      <c r="I30">
        <v>2026</v>
      </c>
      <c r="J30">
        <v>20.399999999999999</v>
      </c>
      <c r="K30" t="s">
        <v>54</v>
      </c>
      <c r="L30" t="s">
        <v>60</v>
      </c>
      <c r="M30">
        <v>5.0199999999999996</v>
      </c>
      <c r="N30">
        <v>1.29</v>
      </c>
    </row>
    <row r="31" spans="1:14" x14ac:dyDescent="0.3">
      <c r="A31" t="s">
        <v>18</v>
      </c>
      <c r="B31" t="s">
        <v>12</v>
      </c>
      <c r="C31">
        <v>-0.58699999999999997</v>
      </c>
      <c r="D31">
        <v>0.32300000000000001</v>
      </c>
      <c r="E31">
        <v>-1.8160000000000001</v>
      </c>
      <c r="F31">
        <v>8.5000000000000006E-2</v>
      </c>
      <c r="H31">
        <v>2026</v>
      </c>
      <c r="I31">
        <v>2027</v>
      </c>
      <c r="J31" t="s">
        <v>61</v>
      </c>
      <c r="K31" t="s">
        <v>56</v>
      </c>
      <c r="L31" t="s">
        <v>60</v>
      </c>
      <c r="M31">
        <v>6.1441860000000004</v>
      </c>
      <c r="N31">
        <v>3.51</v>
      </c>
    </row>
    <row r="32" spans="1:14" x14ac:dyDescent="0.3">
      <c r="A32" t="s">
        <v>18</v>
      </c>
      <c r="B32" t="s">
        <v>13</v>
      </c>
      <c r="C32">
        <v>-0.115</v>
      </c>
      <c r="D32">
        <v>0.16600000000000001</v>
      </c>
      <c r="E32">
        <v>-0.69</v>
      </c>
      <c r="F32">
        <v>0.499</v>
      </c>
    </row>
    <row r="33" spans="1:6" x14ac:dyDescent="0.3">
      <c r="A33" t="s">
        <v>20</v>
      </c>
      <c r="B33" t="s">
        <v>7</v>
      </c>
      <c r="C33">
        <v>4.0709999999999997</v>
      </c>
      <c r="D33">
        <v>1.3680000000000001</v>
      </c>
      <c r="E33">
        <v>2.976</v>
      </c>
      <c r="F33">
        <v>8.0000000000000002E-3</v>
      </c>
    </row>
    <row r="34" spans="1:6" x14ac:dyDescent="0.3">
      <c r="A34" t="s">
        <v>20</v>
      </c>
      <c r="B34" t="s">
        <v>8</v>
      </c>
      <c r="C34">
        <v>0.34599999999999997</v>
      </c>
      <c r="D34">
        <v>0.20399999999999999</v>
      </c>
      <c r="E34">
        <v>1.7</v>
      </c>
      <c r="F34">
        <v>0.105</v>
      </c>
    </row>
    <row r="35" spans="1:6" x14ac:dyDescent="0.3">
      <c r="A35" t="s">
        <v>20</v>
      </c>
      <c r="B35" t="s">
        <v>9</v>
      </c>
      <c r="C35">
        <v>2.403</v>
      </c>
      <c r="D35">
        <v>1.474</v>
      </c>
      <c r="E35">
        <v>1.63</v>
      </c>
      <c r="F35">
        <v>0.11899999999999999</v>
      </c>
    </row>
    <row r="36" spans="1:6" x14ac:dyDescent="0.3">
      <c r="A36" t="s">
        <v>20</v>
      </c>
      <c r="B36" t="s">
        <v>10</v>
      </c>
      <c r="C36">
        <v>0.11799999999999999</v>
      </c>
      <c r="D36">
        <v>0.94299999999999995</v>
      </c>
      <c r="E36">
        <v>0.126</v>
      </c>
      <c r="F36">
        <v>0.90100000000000002</v>
      </c>
    </row>
    <row r="37" spans="1:6" x14ac:dyDescent="0.3">
      <c r="A37" t="s">
        <v>20</v>
      </c>
      <c r="B37" t="s">
        <v>21</v>
      </c>
      <c r="C37">
        <v>-0.39400000000000002</v>
      </c>
      <c r="D37">
        <v>0.152</v>
      </c>
      <c r="E37">
        <v>-2.5840000000000001</v>
      </c>
      <c r="F37">
        <v>1.7999999999999999E-2</v>
      </c>
    </row>
    <row r="38" spans="1:6" x14ac:dyDescent="0.3">
      <c r="A38" t="s">
        <v>20</v>
      </c>
      <c r="B38" t="s">
        <v>11</v>
      </c>
      <c r="C38">
        <v>0.41699999999999998</v>
      </c>
      <c r="D38">
        <v>0.158</v>
      </c>
      <c r="E38">
        <v>2.6389999999999998</v>
      </c>
      <c r="F38">
        <v>1.6E-2</v>
      </c>
    </row>
    <row r="39" spans="1:6" x14ac:dyDescent="0.3">
      <c r="A39" t="s">
        <v>20</v>
      </c>
      <c r="B39" t="s">
        <v>12</v>
      </c>
      <c r="C39">
        <v>-0.52900000000000003</v>
      </c>
      <c r="D39">
        <v>0.30299999999999999</v>
      </c>
      <c r="E39">
        <v>-1.7470000000000001</v>
      </c>
      <c r="F39">
        <v>9.7000000000000003E-2</v>
      </c>
    </row>
    <row r="40" spans="1:6" x14ac:dyDescent="0.3">
      <c r="A40" t="s">
        <v>20</v>
      </c>
      <c r="B40" t="s">
        <v>13</v>
      </c>
      <c r="C40">
        <v>-0.108</v>
      </c>
      <c r="D40">
        <v>0.155</v>
      </c>
      <c r="E40">
        <v>-0.7</v>
      </c>
      <c r="F40">
        <v>0.49199999999999999</v>
      </c>
    </row>
    <row r="41" spans="1:6" x14ac:dyDescent="0.3">
      <c r="A41" t="s">
        <v>22</v>
      </c>
      <c r="B41" t="s">
        <v>7</v>
      </c>
      <c r="C41">
        <v>4.2450000000000001</v>
      </c>
      <c r="D41">
        <v>1.573</v>
      </c>
      <c r="E41">
        <v>2.6989999999999998</v>
      </c>
      <c r="F41">
        <v>1.4E-2</v>
      </c>
    </row>
    <row r="42" spans="1:6" x14ac:dyDescent="0.3">
      <c r="A42" t="s">
        <v>22</v>
      </c>
      <c r="B42" t="s">
        <v>8</v>
      </c>
      <c r="C42">
        <v>0.33300000000000002</v>
      </c>
      <c r="D42">
        <v>0.21</v>
      </c>
      <c r="E42">
        <v>1.5860000000000001</v>
      </c>
      <c r="F42">
        <v>0.129</v>
      </c>
    </row>
    <row r="43" spans="1:6" x14ac:dyDescent="0.3">
      <c r="A43" t="s">
        <v>22</v>
      </c>
      <c r="B43" t="s">
        <v>9</v>
      </c>
      <c r="C43">
        <v>2.552</v>
      </c>
      <c r="D43">
        <v>1.52</v>
      </c>
      <c r="E43">
        <v>1.679</v>
      </c>
      <c r="F43">
        <v>0.11</v>
      </c>
    </row>
    <row r="44" spans="1:6" x14ac:dyDescent="0.3">
      <c r="A44" t="s">
        <v>22</v>
      </c>
      <c r="B44" t="s">
        <v>10</v>
      </c>
      <c r="C44">
        <v>0.14599999999999999</v>
      </c>
      <c r="D44">
        <v>0.97599999999999998</v>
      </c>
      <c r="E44">
        <v>0.14899999999999999</v>
      </c>
      <c r="F44">
        <v>0.88300000000000001</v>
      </c>
    </row>
    <row r="45" spans="1:6" x14ac:dyDescent="0.3">
      <c r="A45" t="s">
        <v>22</v>
      </c>
      <c r="B45" t="s">
        <v>23</v>
      </c>
      <c r="C45">
        <v>-0.37</v>
      </c>
      <c r="D45">
        <v>0.16400000000000001</v>
      </c>
      <c r="E45">
        <v>-2.2549999999999999</v>
      </c>
      <c r="F45">
        <v>3.5999999999999997E-2</v>
      </c>
    </row>
    <row r="46" spans="1:6" x14ac:dyDescent="0.3">
      <c r="A46" t="s">
        <v>22</v>
      </c>
      <c r="B46" t="s">
        <v>11</v>
      </c>
      <c r="C46">
        <v>0.42799999999999999</v>
      </c>
      <c r="D46">
        <v>0.16400000000000001</v>
      </c>
      <c r="E46">
        <v>2.6080000000000001</v>
      </c>
      <c r="F46">
        <v>1.7000000000000001E-2</v>
      </c>
    </row>
    <row r="47" spans="1:6" x14ac:dyDescent="0.3">
      <c r="A47" t="s">
        <v>22</v>
      </c>
      <c r="B47" t="s">
        <v>12</v>
      </c>
      <c r="C47">
        <v>-0.56100000000000005</v>
      </c>
      <c r="D47">
        <v>0.312</v>
      </c>
      <c r="E47">
        <v>-1.798</v>
      </c>
      <c r="F47">
        <v>8.7999999999999995E-2</v>
      </c>
    </row>
    <row r="48" spans="1:6" x14ac:dyDescent="0.3">
      <c r="A48" t="s">
        <v>22</v>
      </c>
      <c r="B48" t="s">
        <v>13</v>
      </c>
      <c r="C48">
        <v>-0.124</v>
      </c>
      <c r="D48">
        <v>0.16</v>
      </c>
      <c r="E48">
        <v>-0.77</v>
      </c>
      <c r="F48">
        <v>0.45100000000000001</v>
      </c>
    </row>
    <row r="49" spans="1:6" x14ac:dyDescent="0.3">
      <c r="A49" t="s">
        <v>24</v>
      </c>
      <c r="B49" t="s">
        <v>7</v>
      </c>
      <c r="C49">
        <v>3.2280000000000002</v>
      </c>
      <c r="D49">
        <v>1.1930000000000001</v>
      </c>
      <c r="E49">
        <v>2.7069999999999999</v>
      </c>
      <c r="F49">
        <v>1.4E-2</v>
      </c>
    </row>
    <row r="50" spans="1:6" x14ac:dyDescent="0.3">
      <c r="A50" t="s">
        <v>24</v>
      </c>
      <c r="B50" t="s">
        <v>8</v>
      </c>
      <c r="C50">
        <v>0.39300000000000002</v>
      </c>
      <c r="D50">
        <v>0.20899999999999999</v>
      </c>
      <c r="E50">
        <v>1.8839999999999999</v>
      </c>
      <c r="F50">
        <v>7.4999999999999997E-2</v>
      </c>
    </row>
    <row r="51" spans="1:6" x14ac:dyDescent="0.3">
      <c r="A51" t="s">
        <v>24</v>
      </c>
      <c r="B51" t="s">
        <v>9</v>
      </c>
      <c r="C51">
        <v>2.4620000000000002</v>
      </c>
      <c r="D51">
        <v>1.506</v>
      </c>
      <c r="E51">
        <v>1.635</v>
      </c>
      <c r="F51">
        <v>0.11799999999999999</v>
      </c>
    </row>
    <row r="52" spans="1:6" x14ac:dyDescent="0.3">
      <c r="A52" t="s">
        <v>24</v>
      </c>
      <c r="B52" t="s">
        <v>10</v>
      </c>
      <c r="C52">
        <v>-4.8000000000000001E-2</v>
      </c>
      <c r="D52">
        <v>0.96</v>
      </c>
      <c r="E52">
        <v>-0.05</v>
      </c>
      <c r="F52">
        <v>0.96</v>
      </c>
    </row>
    <row r="53" spans="1:6" x14ac:dyDescent="0.3">
      <c r="A53" t="s">
        <v>24</v>
      </c>
      <c r="B53" t="s">
        <v>25</v>
      </c>
      <c r="C53">
        <v>-0.29399999999999998</v>
      </c>
      <c r="D53">
        <v>0.125</v>
      </c>
      <c r="E53">
        <v>-2.36</v>
      </c>
      <c r="F53">
        <v>2.9000000000000001E-2</v>
      </c>
    </row>
    <row r="54" spans="1:6" x14ac:dyDescent="0.3">
      <c r="A54" t="s">
        <v>24</v>
      </c>
      <c r="B54" t="s">
        <v>11</v>
      </c>
      <c r="C54">
        <v>0.40100000000000002</v>
      </c>
      <c r="D54">
        <v>0.161</v>
      </c>
      <c r="E54">
        <v>2.4889999999999999</v>
      </c>
      <c r="F54">
        <v>2.1999999999999999E-2</v>
      </c>
    </row>
    <row r="55" spans="1:6" x14ac:dyDescent="0.3">
      <c r="A55" t="s">
        <v>24</v>
      </c>
      <c r="B55" t="s">
        <v>12</v>
      </c>
      <c r="C55">
        <v>-0.54800000000000004</v>
      </c>
      <c r="D55">
        <v>0.309</v>
      </c>
      <c r="E55">
        <v>-1.772</v>
      </c>
      <c r="F55">
        <v>9.1999999999999998E-2</v>
      </c>
    </row>
    <row r="56" spans="1:6" x14ac:dyDescent="0.3">
      <c r="A56" t="s">
        <v>24</v>
      </c>
      <c r="B56" t="s">
        <v>13</v>
      </c>
      <c r="C56">
        <v>-0.08</v>
      </c>
      <c r="D56">
        <v>0.158</v>
      </c>
      <c r="E56">
        <v>-0.50900000000000001</v>
      </c>
      <c r="F56">
        <v>0.61699999999999999</v>
      </c>
    </row>
    <row r="57" spans="1:6" x14ac:dyDescent="0.3">
      <c r="A57" t="s">
        <v>26</v>
      </c>
      <c r="B57" t="s">
        <v>7</v>
      </c>
      <c r="C57">
        <v>3.6850000000000001</v>
      </c>
      <c r="D57">
        <v>1.577</v>
      </c>
      <c r="E57">
        <v>2.3370000000000002</v>
      </c>
      <c r="F57">
        <v>3.1E-2</v>
      </c>
    </row>
    <row r="58" spans="1:6" x14ac:dyDescent="0.3">
      <c r="A58" t="s">
        <v>26</v>
      </c>
      <c r="B58" t="s">
        <v>8</v>
      </c>
      <c r="C58">
        <v>0.371</v>
      </c>
      <c r="D58">
        <v>0.218</v>
      </c>
      <c r="E58">
        <v>1.702</v>
      </c>
      <c r="F58">
        <v>0.105</v>
      </c>
    </row>
    <row r="59" spans="1:6" x14ac:dyDescent="0.3">
      <c r="A59" t="s">
        <v>26</v>
      </c>
      <c r="B59" t="s">
        <v>9</v>
      </c>
      <c r="C59">
        <v>2.4420000000000002</v>
      </c>
      <c r="D59">
        <v>1.577</v>
      </c>
      <c r="E59">
        <v>1.5489999999999999</v>
      </c>
      <c r="F59">
        <v>0.13800000000000001</v>
      </c>
    </row>
    <row r="60" spans="1:6" x14ac:dyDescent="0.3">
      <c r="A60" t="s">
        <v>26</v>
      </c>
      <c r="B60" t="s">
        <v>10</v>
      </c>
      <c r="C60">
        <v>4.2999999999999997E-2</v>
      </c>
      <c r="D60">
        <v>1.008</v>
      </c>
      <c r="E60">
        <v>4.2999999999999997E-2</v>
      </c>
      <c r="F60">
        <v>0.96599999999999997</v>
      </c>
    </row>
    <row r="61" spans="1:6" x14ac:dyDescent="0.3">
      <c r="A61" t="s">
        <v>26</v>
      </c>
      <c r="B61" t="s">
        <v>27</v>
      </c>
      <c r="C61">
        <v>-0.254</v>
      </c>
      <c r="D61">
        <v>0.13700000000000001</v>
      </c>
      <c r="E61">
        <v>-1.849</v>
      </c>
      <c r="F61">
        <v>0.08</v>
      </c>
    </row>
    <row r="62" spans="1:6" x14ac:dyDescent="0.3">
      <c r="A62" t="s">
        <v>26</v>
      </c>
      <c r="B62" t="s">
        <v>11</v>
      </c>
      <c r="C62">
        <v>0.40699999999999997</v>
      </c>
      <c r="D62">
        <v>0.16900000000000001</v>
      </c>
      <c r="E62">
        <v>2.4049999999999998</v>
      </c>
      <c r="F62">
        <v>2.7E-2</v>
      </c>
    </row>
    <row r="63" spans="1:6" x14ac:dyDescent="0.3">
      <c r="A63" t="s">
        <v>26</v>
      </c>
      <c r="B63" t="s">
        <v>12</v>
      </c>
      <c r="C63">
        <v>-0.55400000000000005</v>
      </c>
      <c r="D63">
        <v>0.32400000000000001</v>
      </c>
      <c r="E63">
        <v>-1.7110000000000001</v>
      </c>
      <c r="F63">
        <v>0.10299999999999999</v>
      </c>
    </row>
    <row r="64" spans="1:6" x14ac:dyDescent="0.3">
      <c r="A64" t="s">
        <v>26</v>
      </c>
      <c r="B64" t="s">
        <v>13</v>
      </c>
      <c r="C64">
        <v>-0.11</v>
      </c>
      <c r="D64">
        <v>0.16600000000000001</v>
      </c>
      <c r="E64">
        <v>-0.66100000000000003</v>
      </c>
      <c r="F64">
        <v>0.51600000000000001</v>
      </c>
    </row>
    <row r="65" spans="1:6" x14ac:dyDescent="0.3">
      <c r="A65" t="s">
        <v>28</v>
      </c>
      <c r="B65" t="s">
        <v>7</v>
      </c>
      <c r="C65">
        <v>3.8769999999999998</v>
      </c>
      <c r="D65">
        <v>1.351</v>
      </c>
      <c r="E65">
        <v>2.8679999999999999</v>
      </c>
      <c r="F65">
        <v>0.01</v>
      </c>
    </row>
    <row r="66" spans="1:6" x14ac:dyDescent="0.3">
      <c r="A66" t="s">
        <v>28</v>
      </c>
      <c r="B66" t="s">
        <v>8</v>
      </c>
      <c r="C66">
        <v>0.4</v>
      </c>
      <c r="D66">
        <v>0.20699999999999999</v>
      </c>
      <c r="E66">
        <v>1.9330000000000001</v>
      </c>
      <c r="F66">
        <v>6.8000000000000005E-2</v>
      </c>
    </row>
    <row r="67" spans="1:6" x14ac:dyDescent="0.3">
      <c r="A67" t="s">
        <v>28</v>
      </c>
      <c r="B67" t="s">
        <v>9</v>
      </c>
      <c r="C67">
        <v>2.2999999999999998</v>
      </c>
      <c r="D67">
        <v>1.4930000000000001</v>
      </c>
      <c r="E67">
        <v>1.54</v>
      </c>
      <c r="F67">
        <v>0.14000000000000001</v>
      </c>
    </row>
    <row r="68" spans="1:6" x14ac:dyDescent="0.3">
      <c r="A68" t="s">
        <v>28</v>
      </c>
      <c r="B68" t="s">
        <v>10</v>
      </c>
      <c r="C68">
        <v>2.5999999999999999E-2</v>
      </c>
      <c r="D68">
        <v>0.95099999999999996</v>
      </c>
      <c r="E68">
        <v>2.7E-2</v>
      </c>
      <c r="F68">
        <v>0.97799999999999998</v>
      </c>
    </row>
    <row r="69" spans="1:6" x14ac:dyDescent="0.3">
      <c r="A69" t="s">
        <v>28</v>
      </c>
      <c r="B69" t="s">
        <v>29</v>
      </c>
      <c r="C69">
        <v>-0.374</v>
      </c>
      <c r="D69">
        <v>0.151</v>
      </c>
      <c r="E69">
        <v>-2.4700000000000002</v>
      </c>
      <c r="F69">
        <v>2.3E-2</v>
      </c>
    </row>
    <row r="70" spans="1:6" x14ac:dyDescent="0.3">
      <c r="A70" t="s">
        <v>28</v>
      </c>
      <c r="B70" t="s">
        <v>11</v>
      </c>
      <c r="C70">
        <v>0.40600000000000003</v>
      </c>
      <c r="D70">
        <v>0.16</v>
      </c>
      <c r="E70">
        <v>2.5419999999999998</v>
      </c>
      <c r="F70">
        <v>0.02</v>
      </c>
    </row>
    <row r="71" spans="1:6" x14ac:dyDescent="0.3">
      <c r="A71" t="s">
        <v>28</v>
      </c>
      <c r="B71" t="s">
        <v>12</v>
      </c>
      <c r="C71">
        <v>-0.51</v>
      </c>
      <c r="D71">
        <v>0.307</v>
      </c>
      <c r="E71">
        <v>-1.661</v>
      </c>
      <c r="F71">
        <v>0.113</v>
      </c>
    </row>
    <row r="72" spans="1:6" x14ac:dyDescent="0.3">
      <c r="A72" t="s">
        <v>28</v>
      </c>
      <c r="B72" t="s">
        <v>13</v>
      </c>
      <c r="C72">
        <v>-9.2999999999999999E-2</v>
      </c>
      <c r="D72">
        <v>0.156</v>
      </c>
      <c r="E72">
        <v>-0.59799999999999998</v>
      </c>
      <c r="F72">
        <v>0.55700000000000005</v>
      </c>
    </row>
    <row r="73" spans="1:6" x14ac:dyDescent="0.3">
      <c r="A73" t="s">
        <v>30</v>
      </c>
      <c r="B73" t="s">
        <v>7</v>
      </c>
      <c r="C73">
        <v>3.8889999999999998</v>
      </c>
      <c r="D73">
        <v>1.4810000000000001</v>
      </c>
      <c r="E73">
        <v>2.6259999999999999</v>
      </c>
      <c r="F73">
        <v>1.7000000000000001E-2</v>
      </c>
    </row>
    <row r="74" spans="1:6" x14ac:dyDescent="0.3">
      <c r="A74" t="s">
        <v>30</v>
      </c>
      <c r="B74" t="s">
        <v>8</v>
      </c>
      <c r="C74">
        <v>0.371</v>
      </c>
      <c r="D74">
        <v>0.21199999999999999</v>
      </c>
      <c r="E74">
        <v>1.752</v>
      </c>
      <c r="F74">
        <v>9.6000000000000002E-2</v>
      </c>
    </row>
    <row r="75" spans="1:6" x14ac:dyDescent="0.3">
      <c r="A75" t="s">
        <v>30</v>
      </c>
      <c r="B75" t="s">
        <v>9</v>
      </c>
      <c r="C75">
        <v>2.4340000000000002</v>
      </c>
      <c r="D75">
        <v>1.532</v>
      </c>
      <c r="E75">
        <v>1.5880000000000001</v>
      </c>
      <c r="F75">
        <v>0.129</v>
      </c>
    </row>
    <row r="76" spans="1:6" x14ac:dyDescent="0.3">
      <c r="A76" t="s">
        <v>30</v>
      </c>
      <c r="B76" t="s">
        <v>10</v>
      </c>
      <c r="C76">
        <v>0.124</v>
      </c>
      <c r="D76">
        <v>0.98199999999999998</v>
      </c>
      <c r="E76">
        <v>0.127</v>
      </c>
      <c r="F76">
        <v>0.90100000000000002</v>
      </c>
    </row>
    <row r="77" spans="1:6" x14ac:dyDescent="0.3">
      <c r="A77" t="s">
        <v>30</v>
      </c>
      <c r="B77" t="s">
        <v>31</v>
      </c>
      <c r="C77">
        <v>-0.32600000000000001</v>
      </c>
      <c r="D77">
        <v>0.15</v>
      </c>
      <c r="E77">
        <v>-2.177</v>
      </c>
      <c r="F77">
        <v>4.2000000000000003E-2</v>
      </c>
    </row>
    <row r="78" spans="1:6" x14ac:dyDescent="0.3">
      <c r="A78" t="s">
        <v>30</v>
      </c>
      <c r="B78" t="s">
        <v>11</v>
      </c>
      <c r="C78">
        <v>0.42299999999999999</v>
      </c>
      <c r="D78">
        <v>0.16500000000000001</v>
      </c>
      <c r="E78">
        <v>2.5630000000000002</v>
      </c>
      <c r="F78">
        <v>1.9E-2</v>
      </c>
    </row>
    <row r="79" spans="1:6" x14ac:dyDescent="0.3">
      <c r="A79" t="s">
        <v>30</v>
      </c>
      <c r="B79" t="s">
        <v>12</v>
      </c>
      <c r="C79">
        <v>-0.54300000000000004</v>
      </c>
      <c r="D79">
        <v>0.315</v>
      </c>
      <c r="E79">
        <v>-1.724</v>
      </c>
      <c r="F79">
        <v>0.10100000000000001</v>
      </c>
    </row>
    <row r="80" spans="1:6" x14ac:dyDescent="0.3">
      <c r="A80" t="s">
        <v>30</v>
      </c>
      <c r="B80" t="s">
        <v>13</v>
      </c>
      <c r="C80">
        <v>-0.122</v>
      </c>
      <c r="D80">
        <v>0.16200000000000001</v>
      </c>
      <c r="E80">
        <v>-0.75600000000000001</v>
      </c>
      <c r="F80">
        <v>0.45900000000000002</v>
      </c>
    </row>
    <row r="81" spans="1:6" x14ac:dyDescent="0.3">
      <c r="A81" t="s">
        <v>32</v>
      </c>
      <c r="B81" t="s">
        <v>7</v>
      </c>
      <c r="C81">
        <v>3.3359999999999999</v>
      </c>
      <c r="D81">
        <v>1.196</v>
      </c>
      <c r="E81">
        <v>2.7890000000000001</v>
      </c>
      <c r="F81">
        <v>1.2E-2</v>
      </c>
    </row>
    <row r="82" spans="1:6" x14ac:dyDescent="0.3">
      <c r="A82" t="s">
        <v>32</v>
      </c>
      <c r="B82" t="s">
        <v>8</v>
      </c>
      <c r="C82">
        <v>0.38600000000000001</v>
      </c>
      <c r="D82">
        <v>0.20699999999999999</v>
      </c>
      <c r="E82">
        <v>1.8680000000000001</v>
      </c>
      <c r="F82">
        <v>7.6999999999999999E-2</v>
      </c>
    </row>
    <row r="83" spans="1:6" x14ac:dyDescent="0.3">
      <c r="A83" t="s">
        <v>32</v>
      </c>
      <c r="B83" t="s">
        <v>9</v>
      </c>
      <c r="C83">
        <v>2.476</v>
      </c>
      <c r="D83">
        <v>1.492</v>
      </c>
      <c r="E83">
        <v>1.659</v>
      </c>
      <c r="F83">
        <v>0.113</v>
      </c>
    </row>
    <row r="84" spans="1:6" x14ac:dyDescent="0.3">
      <c r="A84" t="s">
        <v>32</v>
      </c>
      <c r="B84" t="s">
        <v>10</v>
      </c>
      <c r="C84">
        <v>0.13900000000000001</v>
      </c>
      <c r="D84">
        <v>0.95599999999999996</v>
      </c>
      <c r="E84">
        <v>0.14599999999999999</v>
      </c>
      <c r="F84">
        <v>0.88600000000000001</v>
      </c>
    </row>
    <row r="85" spans="1:6" x14ac:dyDescent="0.3">
      <c r="A85" t="s">
        <v>32</v>
      </c>
      <c r="B85" t="s">
        <v>33</v>
      </c>
      <c r="C85">
        <v>-0.29699999999999999</v>
      </c>
      <c r="D85">
        <v>0.121</v>
      </c>
      <c r="E85">
        <v>-2.4529999999999998</v>
      </c>
      <c r="F85">
        <v>2.4E-2</v>
      </c>
    </row>
    <row r="86" spans="1:6" x14ac:dyDescent="0.3">
      <c r="A86" t="s">
        <v>32</v>
      </c>
      <c r="B86" t="s">
        <v>11</v>
      </c>
      <c r="C86">
        <v>0.4</v>
      </c>
      <c r="D86">
        <v>0.16</v>
      </c>
      <c r="E86">
        <v>2.5</v>
      </c>
      <c r="F86">
        <v>2.1999999999999999E-2</v>
      </c>
    </row>
    <row r="87" spans="1:6" x14ac:dyDescent="0.3">
      <c r="A87" t="s">
        <v>32</v>
      </c>
      <c r="B87" t="s">
        <v>12</v>
      </c>
      <c r="C87">
        <v>-0.53700000000000003</v>
      </c>
      <c r="D87">
        <v>0.307</v>
      </c>
      <c r="E87">
        <v>-1.752</v>
      </c>
      <c r="F87">
        <v>9.6000000000000002E-2</v>
      </c>
    </row>
    <row r="88" spans="1:6" x14ac:dyDescent="0.3">
      <c r="A88" t="s">
        <v>32</v>
      </c>
      <c r="B88" t="s">
        <v>13</v>
      </c>
      <c r="C88">
        <v>-0.106</v>
      </c>
      <c r="D88">
        <v>0.157</v>
      </c>
      <c r="E88">
        <v>-0.67500000000000004</v>
      </c>
      <c r="F88">
        <v>0.50800000000000001</v>
      </c>
    </row>
    <row r="89" spans="1:6" x14ac:dyDescent="0.3">
      <c r="A89" t="s">
        <v>34</v>
      </c>
      <c r="B89" t="s">
        <v>7</v>
      </c>
      <c r="C89">
        <v>3.9470000000000001</v>
      </c>
      <c r="D89">
        <v>1.629</v>
      </c>
      <c r="E89">
        <v>2.4220000000000002</v>
      </c>
      <c r="F89">
        <v>2.5999999999999999E-2</v>
      </c>
    </row>
    <row r="90" spans="1:6" x14ac:dyDescent="0.3">
      <c r="A90" t="s">
        <v>34</v>
      </c>
      <c r="B90" t="s">
        <v>8</v>
      </c>
      <c r="C90">
        <v>0.35</v>
      </c>
      <c r="D90">
        <v>0.216</v>
      </c>
      <c r="E90">
        <v>1.6220000000000001</v>
      </c>
      <c r="F90">
        <v>0.121</v>
      </c>
    </row>
    <row r="91" spans="1:6" x14ac:dyDescent="0.3">
      <c r="A91" t="s">
        <v>34</v>
      </c>
      <c r="B91" t="s">
        <v>9</v>
      </c>
      <c r="C91">
        <v>2.6539999999999999</v>
      </c>
      <c r="D91">
        <v>1.5629999999999999</v>
      </c>
      <c r="E91">
        <v>1.698</v>
      </c>
      <c r="F91">
        <v>0.106</v>
      </c>
    </row>
    <row r="92" spans="1:6" x14ac:dyDescent="0.3">
      <c r="A92" t="s">
        <v>34</v>
      </c>
      <c r="B92" t="s">
        <v>10</v>
      </c>
      <c r="C92">
        <v>0.193</v>
      </c>
      <c r="D92">
        <v>1.008</v>
      </c>
      <c r="E92">
        <v>0.191</v>
      </c>
      <c r="F92">
        <v>0.85099999999999998</v>
      </c>
    </row>
    <row r="93" spans="1:6" x14ac:dyDescent="0.3">
      <c r="A93" t="s">
        <v>34</v>
      </c>
      <c r="B93" t="s">
        <v>35</v>
      </c>
      <c r="C93">
        <v>-0.29399999999999998</v>
      </c>
      <c r="D93">
        <v>0.151</v>
      </c>
      <c r="E93">
        <v>-1.9490000000000001</v>
      </c>
      <c r="F93">
        <v>6.6000000000000003E-2</v>
      </c>
    </row>
    <row r="94" spans="1:6" x14ac:dyDescent="0.3">
      <c r="A94" t="s">
        <v>34</v>
      </c>
      <c r="B94" t="s">
        <v>11</v>
      </c>
      <c r="C94">
        <v>0.41799999999999998</v>
      </c>
      <c r="D94">
        <v>0.16800000000000001</v>
      </c>
      <c r="E94">
        <v>2.4849999999999999</v>
      </c>
      <c r="F94">
        <v>2.1999999999999999E-2</v>
      </c>
    </row>
    <row r="95" spans="1:6" x14ac:dyDescent="0.3">
      <c r="A95" t="s">
        <v>34</v>
      </c>
      <c r="B95" t="s">
        <v>12</v>
      </c>
      <c r="C95">
        <v>-0.57399999999999995</v>
      </c>
      <c r="D95">
        <v>0.32</v>
      </c>
      <c r="E95">
        <v>-1.79</v>
      </c>
      <c r="F95">
        <v>8.8999999999999996E-2</v>
      </c>
    </row>
    <row r="96" spans="1:6" x14ac:dyDescent="0.3">
      <c r="A96" t="s">
        <v>34</v>
      </c>
      <c r="B96" t="s">
        <v>13</v>
      </c>
      <c r="C96">
        <v>-0.128</v>
      </c>
      <c r="D96">
        <v>0.16500000000000001</v>
      </c>
      <c r="E96">
        <v>-0.77200000000000002</v>
      </c>
      <c r="F96">
        <v>0.45</v>
      </c>
    </row>
    <row r="97" spans="1:6" x14ac:dyDescent="0.3">
      <c r="A97" t="s">
        <v>36</v>
      </c>
      <c r="B97" t="s">
        <v>7</v>
      </c>
      <c r="C97">
        <v>3.9820000000000002</v>
      </c>
      <c r="D97">
        <v>1.343</v>
      </c>
      <c r="E97">
        <v>2.9660000000000002</v>
      </c>
      <c r="F97">
        <v>8.0000000000000002E-3</v>
      </c>
    </row>
    <row r="98" spans="1:6" x14ac:dyDescent="0.3">
      <c r="A98" t="s">
        <v>36</v>
      </c>
      <c r="B98" t="s">
        <v>8</v>
      </c>
      <c r="C98">
        <v>0.36799999999999999</v>
      </c>
      <c r="D98">
        <v>0.20399999999999999</v>
      </c>
      <c r="E98">
        <v>1.8049999999999999</v>
      </c>
      <c r="F98">
        <v>8.6999999999999994E-2</v>
      </c>
    </row>
    <row r="99" spans="1:6" x14ac:dyDescent="0.3">
      <c r="A99" t="s">
        <v>36</v>
      </c>
      <c r="B99" t="s">
        <v>9</v>
      </c>
      <c r="C99">
        <v>2.4390000000000001</v>
      </c>
      <c r="D99">
        <v>1.474</v>
      </c>
      <c r="E99">
        <v>1.655</v>
      </c>
      <c r="F99">
        <v>0.114</v>
      </c>
    </row>
    <row r="100" spans="1:6" x14ac:dyDescent="0.3">
      <c r="A100" t="s">
        <v>36</v>
      </c>
      <c r="B100" t="s">
        <v>10</v>
      </c>
      <c r="C100">
        <v>0.245</v>
      </c>
      <c r="D100">
        <v>0.94899999999999995</v>
      </c>
      <c r="E100">
        <v>0.25800000000000001</v>
      </c>
      <c r="F100">
        <v>0.79900000000000004</v>
      </c>
    </row>
    <row r="101" spans="1:6" x14ac:dyDescent="0.3">
      <c r="A101" t="s">
        <v>36</v>
      </c>
      <c r="B101" t="s">
        <v>37</v>
      </c>
      <c r="C101">
        <v>-0.39100000000000001</v>
      </c>
      <c r="D101">
        <v>0.152</v>
      </c>
      <c r="E101">
        <v>-2.58</v>
      </c>
      <c r="F101">
        <v>1.7999999999999999E-2</v>
      </c>
    </row>
    <row r="102" spans="1:6" x14ac:dyDescent="0.3">
      <c r="A102" t="s">
        <v>36</v>
      </c>
      <c r="B102" t="s">
        <v>11</v>
      </c>
      <c r="C102">
        <v>0.41599999999999998</v>
      </c>
      <c r="D102">
        <v>0.158</v>
      </c>
      <c r="E102">
        <v>2.6280000000000001</v>
      </c>
      <c r="F102">
        <v>1.7000000000000001E-2</v>
      </c>
    </row>
    <row r="103" spans="1:6" x14ac:dyDescent="0.3">
      <c r="A103" t="s">
        <v>36</v>
      </c>
      <c r="B103" t="s">
        <v>12</v>
      </c>
      <c r="C103">
        <v>-0.52100000000000002</v>
      </c>
      <c r="D103">
        <v>0.30299999999999999</v>
      </c>
      <c r="E103">
        <v>-1.718</v>
      </c>
      <c r="F103">
        <v>0.10199999999999999</v>
      </c>
    </row>
    <row r="104" spans="1:6" x14ac:dyDescent="0.3">
      <c r="A104" t="s">
        <v>36</v>
      </c>
      <c r="B104" t="s">
        <v>13</v>
      </c>
      <c r="C104">
        <v>-0.123</v>
      </c>
      <c r="D104">
        <v>0.155</v>
      </c>
      <c r="E104">
        <v>-0.79200000000000004</v>
      </c>
      <c r="F104">
        <v>0.438</v>
      </c>
    </row>
    <row r="105" spans="1:6" x14ac:dyDescent="0.3">
      <c r="A105" t="s">
        <v>38</v>
      </c>
      <c r="B105" t="s">
        <v>7</v>
      </c>
      <c r="C105">
        <v>4.1790000000000003</v>
      </c>
      <c r="D105">
        <v>1.5349999999999999</v>
      </c>
      <c r="E105">
        <v>2.722</v>
      </c>
      <c r="F105">
        <v>1.4E-2</v>
      </c>
    </row>
    <row r="106" spans="1:6" x14ac:dyDescent="0.3">
      <c r="A106" t="s">
        <v>38</v>
      </c>
      <c r="B106" t="s">
        <v>8</v>
      </c>
      <c r="C106">
        <v>0.35199999999999998</v>
      </c>
      <c r="D106">
        <v>0.21</v>
      </c>
      <c r="E106">
        <v>1.68</v>
      </c>
      <c r="F106">
        <v>0.109</v>
      </c>
    </row>
    <row r="107" spans="1:6" x14ac:dyDescent="0.3">
      <c r="A107" t="s">
        <v>38</v>
      </c>
      <c r="B107" t="s">
        <v>9</v>
      </c>
      <c r="C107">
        <v>2.5939999999999999</v>
      </c>
      <c r="D107">
        <v>1.516</v>
      </c>
      <c r="E107">
        <v>1.7110000000000001</v>
      </c>
      <c r="F107">
        <v>0.10299999999999999</v>
      </c>
    </row>
    <row r="108" spans="1:6" x14ac:dyDescent="0.3">
      <c r="A108" t="s">
        <v>38</v>
      </c>
      <c r="B108" t="s">
        <v>10</v>
      </c>
      <c r="C108">
        <v>0.26300000000000001</v>
      </c>
      <c r="D108">
        <v>0.98099999999999998</v>
      </c>
      <c r="E108">
        <v>0.26800000000000002</v>
      </c>
      <c r="F108">
        <v>0.79100000000000004</v>
      </c>
    </row>
    <row r="109" spans="1:6" x14ac:dyDescent="0.3">
      <c r="A109" t="s">
        <v>38</v>
      </c>
      <c r="B109" t="s">
        <v>39</v>
      </c>
      <c r="C109">
        <v>-0.36699999999999999</v>
      </c>
      <c r="D109">
        <v>0.161</v>
      </c>
      <c r="E109">
        <v>-2.2810000000000001</v>
      </c>
      <c r="F109">
        <v>3.4000000000000002E-2</v>
      </c>
    </row>
    <row r="110" spans="1:6" x14ac:dyDescent="0.3">
      <c r="A110" t="s">
        <v>38</v>
      </c>
      <c r="B110" t="s">
        <v>11</v>
      </c>
      <c r="C110">
        <v>0.42799999999999999</v>
      </c>
      <c r="D110">
        <v>0.16400000000000001</v>
      </c>
      <c r="E110">
        <v>2.6179999999999999</v>
      </c>
      <c r="F110">
        <v>1.7000000000000001E-2</v>
      </c>
    </row>
    <row r="111" spans="1:6" x14ac:dyDescent="0.3">
      <c r="A111" t="s">
        <v>38</v>
      </c>
      <c r="B111" t="s">
        <v>12</v>
      </c>
      <c r="C111">
        <v>-0.55400000000000005</v>
      </c>
      <c r="D111">
        <v>0.311</v>
      </c>
      <c r="E111">
        <v>-1.78</v>
      </c>
      <c r="F111">
        <v>9.0999999999999998E-2</v>
      </c>
    </row>
    <row r="112" spans="1:6" x14ac:dyDescent="0.3">
      <c r="A112" t="s">
        <v>38</v>
      </c>
      <c r="B112" t="s">
        <v>13</v>
      </c>
      <c r="C112">
        <v>-0.13800000000000001</v>
      </c>
      <c r="D112">
        <v>0.161</v>
      </c>
      <c r="E112">
        <v>-0.85899999999999999</v>
      </c>
      <c r="F112">
        <v>0.40100000000000002</v>
      </c>
    </row>
    <row r="113" spans="1:6" x14ac:dyDescent="0.3">
      <c r="A113" t="s">
        <v>40</v>
      </c>
      <c r="B113" t="s">
        <v>7</v>
      </c>
      <c r="C113">
        <v>3.3039999999999998</v>
      </c>
      <c r="D113">
        <v>1.218</v>
      </c>
      <c r="E113">
        <v>2.7130000000000001</v>
      </c>
      <c r="F113">
        <v>1.4E-2</v>
      </c>
    </row>
    <row r="114" spans="1:6" x14ac:dyDescent="0.3">
      <c r="A114" t="s">
        <v>40</v>
      </c>
      <c r="B114" t="s">
        <v>8</v>
      </c>
      <c r="C114">
        <v>0.36399999999999999</v>
      </c>
      <c r="D114">
        <v>0.20799999999999999</v>
      </c>
      <c r="E114">
        <v>1.75</v>
      </c>
      <c r="F114">
        <v>9.6000000000000002E-2</v>
      </c>
    </row>
    <row r="115" spans="1:6" x14ac:dyDescent="0.3">
      <c r="A115" t="s">
        <v>40</v>
      </c>
      <c r="B115" t="s">
        <v>9</v>
      </c>
      <c r="C115">
        <v>2.69</v>
      </c>
      <c r="D115">
        <v>1.5069999999999999</v>
      </c>
      <c r="E115">
        <v>1.7849999999999999</v>
      </c>
      <c r="F115">
        <v>0.09</v>
      </c>
    </row>
    <row r="116" spans="1:6" x14ac:dyDescent="0.3">
      <c r="A116" t="s">
        <v>40</v>
      </c>
      <c r="B116" t="s">
        <v>10</v>
      </c>
      <c r="C116">
        <v>0.19800000000000001</v>
      </c>
      <c r="D116">
        <v>0.96899999999999997</v>
      </c>
      <c r="E116">
        <v>0.20399999999999999</v>
      </c>
      <c r="F116">
        <v>0.84099999999999997</v>
      </c>
    </row>
    <row r="117" spans="1:6" x14ac:dyDescent="0.3">
      <c r="A117" t="s">
        <v>40</v>
      </c>
      <c r="B117" t="s">
        <v>41</v>
      </c>
      <c r="C117">
        <v>-0.28199999999999997</v>
      </c>
      <c r="D117">
        <v>0.12</v>
      </c>
      <c r="E117">
        <v>-2.35</v>
      </c>
      <c r="F117">
        <v>0.03</v>
      </c>
    </row>
    <row r="118" spans="1:6" x14ac:dyDescent="0.3">
      <c r="A118" t="s">
        <v>40</v>
      </c>
      <c r="B118" t="s">
        <v>11</v>
      </c>
      <c r="C118">
        <v>0.41599999999999998</v>
      </c>
      <c r="D118">
        <v>0.16200000000000001</v>
      </c>
      <c r="E118">
        <v>2.5720000000000001</v>
      </c>
      <c r="F118">
        <v>1.9E-2</v>
      </c>
    </row>
    <row r="119" spans="1:6" x14ac:dyDescent="0.3">
      <c r="A119" t="s">
        <v>40</v>
      </c>
      <c r="B119" t="s">
        <v>12</v>
      </c>
      <c r="C119">
        <v>-0.57799999999999996</v>
      </c>
      <c r="D119">
        <v>0.309</v>
      </c>
      <c r="E119">
        <v>-1.873</v>
      </c>
      <c r="F119">
        <v>7.5999999999999998E-2</v>
      </c>
    </row>
    <row r="120" spans="1:6" x14ac:dyDescent="0.3">
      <c r="A120" t="s">
        <v>40</v>
      </c>
      <c r="B120" t="s">
        <v>13</v>
      </c>
      <c r="C120">
        <v>-0.11700000000000001</v>
      </c>
      <c r="D120">
        <v>0.159</v>
      </c>
      <c r="E120">
        <v>-0.74</v>
      </c>
      <c r="F120">
        <v>0.46899999999999997</v>
      </c>
    </row>
    <row r="121" spans="1:6" x14ac:dyDescent="0.3">
      <c r="A121" t="s">
        <v>42</v>
      </c>
      <c r="B121" t="s">
        <v>7</v>
      </c>
      <c r="C121">
        <v>3.976</v>
      </c>
      <c r="D121">
        <v>1.6120000000000001</v>
      </c>
      <c r="E121">
        <v>2.4660000000000002</v>
      </c>
      <c r="F121">
        <v>2.3E-2</v>
      </c>
    </row>
    <row r="122" spans="1:6" x14ac:dyDescent="0.3">
      <c r="A122" t="s">
        <v>42</v>
      </c>
      <c r="B122" t="s">
        <v>8</v>
      </c>
      <c r="C122">
        <v>0.32900000000000001</v>
      </c>
      <c r="D122">
        <v>0.215</v>
      </c>
      <c r="E122">
        <v>1.5289999999999999</v>
      </c>
      <c r="F122">
        <v>0.14299999999999999</v>
      </c>
    </row>
    <row r="123" spans="1:6" x14ac:dyDescent="0.3">
      <c r="A123" t="s">
        <v>42</v>
      </c>
      <c r="B123" t="s">
        <v>9</v>
      </c>
      <c r="C123">
        <v>2.81</v>
      </c>
      <c r="D123">
        <v>1.56</v>
      </c>
      <c r="E123">
        <v>1.8009999999999999</v>
      </c>
      <c r="F123">
        <v>8.7999999999999995E-2</v>
      </c>
    </row>
    <row r="124" spans="1:6" x14ac:dyDescent="0.3">
      <c r="A124" t="s">
        <v>42</v>
      </c>
      <c r="B124" t="s">
        <v>10</v>
      </c>
      <c r="C124">
        <v>0.223</v>
      </c>
      <c r="D124">
        <v>1.006</v>
      </c>
      <c r="E124">
        <v>0.222</v>
      </c>
      <c r="F124">
        <v>0.82699999999999996</v>
      </c>
    </row>
    <row r="125" spans="1:6" x14ac:dyDescent="0.3">
      <c r="A125" t="s">
        <v>42</v>
      </c>
      <c r="B125" t="s">
        <v>43</v>
      </c>
      <c r="C125">
        <v>-0.28799999999999998</v>
      </c>
      <c r="D125">
        <v>0.14399999999999999</v>
      </c>
      <c r="E125">
        <v>-1.9970000000000001</v>
      </c>
      <c r="F125">
        <v>0.06</v>
      </c>
    </row>
    <row r="126" spans="1:6" x14ac:dyDescent="0.3">
      <c r="A126" t="s">
        <v>42</v>
      </c>
      <c r="B126" t="s">
        <v>11</v>
      </c>
      <c r="C126">
        <v>0.42599999999999999</v>
      </c>
      <c r="D126">
        <v>0.16800000000000001</v>
      </c>
      <c r="E126">
        <v>2.5369999999999999</v>
      </c>
      <c r="F126">
        <v>0.02</v>
      </c>
    </row>
    <row r="127" spans="1:6" x14ac:dyDescent="0.3">
      <c r="A127" t="s">
        <v>42</v>
      </c>
      <c r="B127" t="s">
        <v>12</v>
      </c>
      <c r="C127">
        <v>-0.59699999999999998</v>
      </c>
      <c r="D127">
        <v>0.31900000000000001</v>
      </c>
      <c r="E127">
        <v>-1.8720000000000001</v>
      </c>
      <c r="F127">
        <v>7.6999999999999999E-2</v>
      </c>
    </row>
    <row r="128" spans="1:6" x14ac:dyDescent="0.3">
      <c r="A128" t="s">
        <v>42</v>
      </c>
      <c r="B128" t="s">
        <v>13</v>
      </c>
      <c r="C128">
        <v>-0.13</v>
      </c>
      <c r="D128">
        <v>0.16500000000000001</v>
      </c>
      <c r="E128">
        <v>-0.78700000000000003</v>
      </c>
      <c r="F128">
        <v>0.441</v>
      </c>
    </row>
    <row r="129" spans="1:6" x14ac:dyDescent="0.3">
      <c r="A129" t="s">
        <v>44</v>
      </c>
      <c r="B129" t="s">
        <v>7</v>
      </c>
      <c r="C129">
        <v>3.9430000000000001</v>
      </c>
      <c r="D129">
        <v>1.361</v>
      </c>
      <c r="E129">
        <v>2.8969999999999998</v>
      </c>
      <c r="F129">
        <v>8.9999999999999993E-3</v>
      </c>
    </row>
    <row r="130" spans="1:6" x14ac:dyDescent="0.3">
      <c r="A130" t="s">
        <v>44</v>
      </c>
      <c r="B130" t="s">
        <v>8</v>
      </c>
      <c r="C130">
        <v>0.34799999999999998</v>
      </c>
      <c r="D130">
        <v>0.20499999999999999</v>
      </c>
      <c r="E130">
        <v>1.6970000000000001</v>
      </c>
      <c r="F130">
        <v>0.106</v>
      </c>
    </row>
    <row r="131" spans="1:6" x14ac:dyDescent="0.3">
      <c r="A131" t="s">
        <v>44</v>
      </c>
      <c r="B131" t="s">
        <v>9</v>
      </c>
      <c r="C131">
        <v>2.5939999999999999</v>
      </c>
      <c r="D131">
        <v>1.484</v>
      </c>
      <c r="E131">
        <v>1.7470000000000001</v>
      </c>
      <c r="F131">
        <v>9.7000000000000003E-2</v>
      </c>
    </row>
    <row r="132" spans="1:6" x14ac:dyDescent="0.3">
      <c r="A132" t="s">
        <v>44</v>
      </c>
      <c r="B132" t="s">
        <v>10</v>
      </c>
      <c r="C132">
        <v>0.311</v>
      </c>
      <c r="D132">
        <v>0.96199999999999997</v>
      </c>
      <c r="E132">
        <v>0.32300000000000001</v>
      </c>
      <c r="F132">
        <v>0.75</v>
      </c>
    </row>
    <row r="133" spans="1:6" x14ac:dyDescent="0.3">
      <c r="A133" t="s">
        <v>44</v>
      </c>
      <c r="B133" t="s">
        <v>45</v>
      </c>
      <c r="C133">
        <v>-0.36899999999999999</v>
      </c>
      <c r="D133">
        <v>0.14799999999999999</v>
      </c>
      <c r="E133">
        <v>-2.4990000000000001</v>
      </c>
      <c r="F133">
        <v>2.1999999999999999E-2</v>
      </c>
    </row>
    <row r="134" spans="1:6" x14ac:dyDescent="0.3">
      <c r="A134" t="s">
        <v>44</v>
      </c>
      <c r="B134" t="s">
        <v>11</v>
      </c>
      <c r="C134">
        <v>0.433</v>
      </c>
      <c r="D134">
        <v>0.16</v>
      </c>
      <c r="E134">
        <v>2.7029999999999998</v>
      </c>
      <c r="F134">
        <v>1.4E-2</v>
      </c>
    </row>
    <row r="135" spans="1:6" x14ac:dyDescent="0.3">
      <c r="A135" t="s">
        <v>44</v>
      </c>
      <c r="B135" t="s">
        <v>12</v>
      </c>
      <c r="C135">
        <v>-0.54700000000000004</v>
      </c>
      <c r="D135">
        <v>0.30499999999999999</v>
      </c>
      <c r="E135">
        <v>-1.794</v>
      </c>
      <c r="F135">
        <v>8.8999999999999996E-2</v>
      </c>
    </row>
    <row r="136" spans="1:6" x14ac:dyDescent="0.3">
      <c r="A136" t="s">
        <v>44</v>
      </c>
      <c r="B136" t="s">
        <v>13</v>
      </c>
      <c r="C136">
        <v>-0.13600000000000001</v>
      </c>
      <c r="D136">
        <v>0.157</v>
      </c>
      <c r="E136">
        <v>-0.86699999999999999</v>
      </c>
      <c r="F136">
        <v>0.39600000000000002</v>
      </c>
    </row>
    <row r="137" spans="1:6" x14ac:dyDescent="0.3">
      <c r="A137" t="s">
        <v>46</v>
      </c>
      <c r="B137" t="s">
        <v>7</v>
      </c>
      <c r="C137">
        <v>4.2110000000000003</v>
      </c>
      <c r="D137">
        <v>1.54</v>
      </c>
      <c r="E137">
        <v>2.7349999999999999</v>
      </c>
      <c r="F137">
        <v>1.2999999999999999E-2</v>
      </c>
    </row>
    <row r="138" spans="1:6" x14ac:dyDescent="0.3">
      <c r="A138" t="s">
        <v>46</v>
      </c>
      <c r="B138" t="s">
        <v>8</v>
      </c>
      <c r="C138">
        <v>0.33500000000000002</v>
      </c>
      <c r="D138">
        <v>0.20899999999999999</v>
      </c>
      <c r="E138">
        <v>1.6020000000000001</v>
      </c>
      <c r="F138">
        <v>0.126</v>
      </c>
    </row>
    <row r="139" spans="1:6" x14ac:dyDescent="0.3">
      <c r="A139" t="s">
        <v>46</v>
      </c>
      <c r="B139" t="s">
        <v>9</v>
      </c>
      <c r="C139">
        <v>2.7360000000000002</v>
      </c>
      <c r="D139">
        <v>1.516</v>
      </c>
      <c r="E139">
        <v>1.806</v>
      </c>
      <c r="F139">
        <v>8.6999999999999994E-2</v>
      </c>
    </row>
    <row r="140" spans="1:6" x14ac:dyDescent="0.3">
      <c r="A140" t="s">
        <v>46</v>
      </c>
      <c r="B140" t="s">
        <v>10</v>
      </c>
      <c r="C140">
        <v>0.30599999999999999</v>
      </c>
      <c r="D140">
        <v>0.98299999999999998</v>
      </c>
      <c r="E140">
        <v>0.311</v>
      </c>
      <c r="F140">
        <v>0.75900000000000001</v>
      </c>
    </row>
    <row r="141" spans="1:6" x14ac:dyDescent="0.3">
      <c r="A141" t="s">
        <v>46</v>
      </c>
      <c r="B141" t="s">
        <v>47</v>
      </c>
      <c r="C141">
        <v>-0.35599999999999998</v>
      </c>
      <c r="D141">
        <v>0.155</v>
      </c>
      <c r="E141">
        <v>-2.2949999999999999</v>
      </c>
      <c r="F141">
        <v>3.3000000000000002E-2</v>
      </c>
    </row>
    <row r="142" spans="1:6" x14ac:dyDescent="0.3">
      <c r="A142" t="s">
        <v>46</v>
      </c>
      <c r="B142" t="s">
        <v>11</v>
      </c>
      <c r="C142">
        <v>0.437</v>
      </c>
      <c r="D142">
        <v>0.16400000000000001</v>
      </c>
      <c r="E142">
        <v>2.6680000000000001</v>
      </c>
      <c r="F142">
        <v>1.4999999999999999E-2</v>
      </c>
    </row>
    <row r="143" spans="1:6" x14ac:dyDescent="0.3">
      <c r="A143" t="s">
        <v>46</v>
      </c>
      <c r="B143" t="s">
        <v>12</v>
      </c>
      <c r="C143">
        <v>-0.57399999999999995</v>
      </c>
      <c r="D143">
        <v>0.31</v>
      </c>
      <c r="E143">
        <v>-1.849</v>
      </c>
      <c r="F143">
        <v>0.08</v>
      </c>
    </row>
    <row r="144" spans="1:6" x14ac:dyDescent="0.3">
      <c r="A144" t="s">
        <v>46</v>
      </c>
      <c r="B144" t="s">
        <v>13</v>
      </c>
      <c r="C144">
        <v>-0.14199999999999999</v>
      </c>
      <c r="D144">
        <v>0.161</v>
      </c>
      <c r="E144">
        <v>-0.88400000000000001</v>
      </c>
      <c r="F144">
        <v>0.38800000000000001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model_summary_table1_multi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Miller, Sara E (DFG)</dc:creator>
  <cp:lastModifiedBy>Miller, Sara E (DFG)</cp:lastModifiedBy>
  <dcterms:created xsi:type="dcterms:W3CDTF">2026-10-02T19:01:56Z</dcterms:created>
  <dcterms:modified xsi:type="dcterms:W3CDTF">2026-10-02T19:01:56Z</dcterms:modified>
</cp:coreProperties>
</file>