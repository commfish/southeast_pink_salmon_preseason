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theast_pink_salmon_preseason\2027_forecast\"/>
    </mc:Choice>
  </mc:AlternateContent>
  <xr:revisionPtr revIDLastSave="0" documentId="8_{54299703-4CAF-4F9B-BC12-287DBEEF1C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_model_one_step_ahead_func_ex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" i="4"/>
  <c r="AD23" i="4"/>
  <c r="AA23" i="4"/>
  <c r="AB24" i="4" l="1"/>
  <c r="AB25" i="4"/>
  <c r="AB26" i="4"/>
  <c r="G57" i="4"/>
  <c r="AD27" i="4"/>
  <c r="AB27" i="4"/>
  <c r="AA27" i="4"/>
  <c r="AA26" i="4"/>
  <c r="AA25" i="4"/>
  <c r="AA24" i="4"/>
  <c r="AB23" i="4"/>
  <c r="AC23" i="4" s="1"/>
  <c r="AC24" i="4" l="1"/>
  <c r="AC27" i="4"/>
  <c r="AC26" i="4"/>
  <c r="AC25" i="4"/>
  <c r="AD26" i="4"/>
  <c r="AC30" i="4"/>
  <c r="AD24" i="4"/>
  <c r="AD25" i="4"/>
  <c r="AD3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Y23" authorId="0" shapeId="0" xr:uid="{06FC67A1-6A5D-40D1-AAED-203D177197F5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This is a regression using data from Jyear 1997 to 2018 only for the 2025 foreacast. </t>
        </r>
      </text>
    </comment>
    <comment ref="Z23" authorId="0" shapeId="0" xr:uid="{6827E2D5-6BEE-4057-82D7-4C68C3F073D1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output from running the fucntion f_model_one_step_ahead in the function.r file as a test for the years used</t>
        </r>
      </text>
    </comment>
    <comment ref="AC30" authorId="0" shapeId="0" xr:uid="{2F71EC47-897A-4276-9030-78DDBC558314}">
      <text>
        <r>
          <rPr>
            <b/>
            <sz val="9"/>
            <color indexed="81"/>
            <rFont val="Tahoma"/>
            <family val="2"/>
          </rPr>
          <t>Miller, Sara E (DFG):</t>
        </r>
        <r>
          <rPr>
            <sz val="9"/>
            <color indexed="81"/>
            <rFont val="Tahoma"/>
            <family val="2"/>
          </rPr>
          <t xml:space="preserve">
This should match the output int the file seak_model_summary_one_step_ahead5.csv.</t>
        </r>
      </text>
    </comment>
  </commentList>
</comments>
</file>

<file path=xl/sharedStrings.xml><?xml version="1.0" encoding="utf-8"?>
<sst xmlns="http://schemas.openxmlformats.org/spreadsheetml/2006/main" count="125" uniqueCount="65">
  <si>
    <t>JYear</t>
  </si>
  <si>
    <t>Year</t>
  </si>
  <si>
    <t>SEAKCatch</t>
  </si>
  <si>
    <t>ISTI20_MJJ</t>
  </si>
  <si>
    <t>CPUE</t>
  </si>
  <si>
    <t>Chatham_SST_MJJ</t>
  </si>
  <si>
    <t>Chatham_SST_May</t>
  </si>
  <si>
    <t>Chatham_SST_AMJJ</t>
  </si>
  <si>
    <t>Chatham_SST_AMJ</t>
  </si>
  <si>
    <t>Icy_Strait_SST_MJJ</t>
  </si>
  <si>
    <t>Icy_Strait_SST_May</t>
  </si>
  <si>
    <t>Icy_Strait_SST_AMJJ</t>
  </si>
  <si>
    <t>Icy_Strait_SST_AMJ</t>
  </si>
  <si>
    <t>NSEAK_SST_MJJ</t>
  </si>
  <si>
    <t>NSEAK_SST_May</t>
  </si>
  <si>
    <t>NSEAK_SST_AMJJ</t>
  </si>
  <si>
    <t>NSEAK_SST_AMJ</t>
  </si>
  <si>
    <t>SEAK_SST_MJJ</t>
  </si>
  <si>
    <t>SEAK_SST_May</t>
  </si>
  <si>
    <t>SEAK_SST_AMJJ</t>
  </si>
  <si>
    <t>SEAK_SST_AMJ</t>
  </si>
  <si>
    <t>observed harvest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</si>
  <si>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</si>
  <si>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</si>
  <si>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</si>
  <si>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</si>
  <si>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</si>
  <si>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</si>
  <si>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</si>
  <si>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</si>
  <si>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</si>
  <si>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</si>
  <si>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</si>
  <si>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</si>
  <si>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</si>
  <si>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</si>
  <si>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</si>
  <si>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</si>
  <si>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</si>
  <si>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</si>
  <si>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</si>
  <si>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</si>
  <si>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</si>
  <si>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</si>
  <si>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</si>
  <si>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</si>
  <si>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</si>
  <si>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predicted</t>
  </si>
  <si>
    <t>exp(pred)</t>
  </si>
  <si>
    <t>exp(obs)</t>
  </si>
  <si>
    <t>MAPE</t>
  </si>
  <si>
    <t>MAPE=</t>
  </si>
  <si>
    <t>input data</t>
  </si>
  <si>
    <t>formulas</t>
  </si>
  <si>
    <t>m33a</t>
  </si>
  <si>
    <t>as.factor(odd_even_factor)odd</t>
  </si>
  <si>
    <t>even</t>
  </si>
  <si>
    <t>odd</t>
  </si>
  <si>
    <t>pink_cal_pool</t>
  </si>
  <si>
    <t>seak_model_summary1</t>
  </si>
  <si>
    <t>index</t>
  </si>
  <si>
    <t>weight_values</t>
  </si>
  <si>
    <t>odd_even_factor</t>
  </si>
  <si>
    <t>SEAKCatch_log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</si>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</sst>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0" fillId="34" borderId="0" xfId="0" applyFill="1"/>
    <xf numFmtId="0" fontId="16" fillId="33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Fill="1"/>
    <xf numFmtId="0" fontId="21" fillId="34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5" borderId="0" xfId="0" applyFill="1" applyBorder="1" applyAlignment="1">
      <alignment horizontal="center"/>
    </xf>
    <xf numFmtId="0" fontId="0" fillId="36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1" fillId="34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1" fillId="37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428624</xdr:colOff>
      <xdr:row>0</xdr:row>
      <xdr:rowOff>138110</xdr:rowOff>
    </xdr:from>
    <xdr:to>
      <xdr:col>46</xdr:col>
      <xdr:colOff>561976</xdr:colOff>
      <xdr:row>25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D69E37-F48B-4435-A0BE-3BA541870F91}"/>
            </a:ext>
          </a:extLst>
        </xdr:cNvPr>
        <xdr:cNvSpPr txBox="1"/>
      </xdr:nvSpPr>
      <xdr:spPr>
        <a:xfrm>
          <a:off x="28472129" y="134300"/>
          <a:ext cx="9959342" cy="454247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ptos Narrow" panose="020B0004020202020204" pitchFamily="34" charset="0"/>
            </a:rPr>
            <a:t>Directions for checking the MAPE years:</a:t>
          </a:r>
        </a:p>
        <a:p>
          <a:r>
            <a:rPr lang="en-US" sz="1100" b="0">
              <a:latin typeface="Aptos Narrow" panose="020B0004020202020204" pitchFamily="34" charset="0"/>
            </a:rPr>
            <a:t>(1) Copy</a:t>
          </a:r>
          <a:r>
            <a:rPr lang="en-US" sz="1100" b="0" baseline="0">
              <a:latin typeface="Aptos Narrow" panose="020B0004020202020204" pitchFamily="34" charset="0"/>
            </a:rPr>
            <a:t> data from the file varyyy_final.csv into the blue area.</a:t>
          </a:r>
        </a:p>
        <a:p>
          <a:r>
            <a:rPr lang="en-US" sz="1100" b="0" baseline="0">
              <a:latin typeface="Aptos Narrow" panose="020B0004020202020204" pitchFamily="34" charset="0"/>
            </a:rPr>
            <a:t>(2) The formul for the observed havest in log space should update automatically.</a:t>
          </a:r>
        </a:p>
        <a:p>
          <a:r>
            <a:rPr lang="en-US" sz="1100" b="0" baseline="0">
              <a:latin typeface="Aptos Narrow" panose="020B0004020202020204" pitchFamily="34" charset="0"/>
            </a:rPr>
            <a:t>(3) Run a regression with ln(observed harvest) for y and CPUE for x. Only use the data up through y-6 where y is the current data year. For example, for forecast year 2025, use data from Jyear 1997 to Jyear 2018 where y would be 2024 for y-6. Place the regression summary starting in cell E32.</a:t>
          </a:r>
        </a:p>
        <a:p>
          <a:r>
            <a:rPr lang="en-US" sz="1100" b="0" baseline="0">
              <a:latin typeface="Aptos Narrow" panose="020B0004020202020204" pitchFamily="34" charset="0"/>
            </a:rPr>
            <a:t>(4) Update the formula in cell Y23. It should be the predicted harvest for Jyesa y-5. So, for the 2025 forecast, the predicted value is for 2019 using the regression parameters in the CPUE model from Jyear 1997 to 208.  </a:t>
          </a:r>
        </a:p>
        <a:p>
          <a:r>
            <a:rPr lang="en-US" sz="1100" b="0" baseline="0">
              <a:latin typeface="Aptos Narrow" panose="020B0004020202020204" pitchFamily="34" charset="0"/>
            </a:rPr>
            <a:t>(5) Next, within the functions.R file withing the code folder, run the lines of code: </a:t>
          </a:r>
          <a:endParaRPr lang="en-US" sz="1100" b="0">
            <a:latin typeface="Aptos Narrow" panose="020B0004020202020204" pitchFamily="34" charset="0"/>
          </a:endParaRPr>
        </a:p>
        <a:p>
          <a:endParaRPr lang="en-US" sz="1100">
            <a:latin typeface="Aptos Narrow" panose="020B0004020202020204" pitchFamily="34" charset="0"/>
          </a:endParaRPr>
        </a:p>
        <a:p>
          <a:r>
            <a:rPr lang="en-US" sz="1100" b="1">
              <a:latin typeface="Aptos Narrow" panose="020B0004020202020204" pitchFamily="34" charset="0"/>
            </a:rPr>
            <a:t>f_model_one_step_ahead </a:t>
          </a:r>
          <a:r>
            <a:rPr lang="en-US" sz="1100">
              <a:latin typeface="Aptos Narrow" panose="020B0004020202020204" pitchFamily="34" charset="0"/>
            </a:rPr>
            <a:t>&lt;- function(harvest,variables,model, start, end, model_num){  n&lt;-dim(variables)[1]  model.results&lt;-numeric()  obs&lt;-harvest[-n]  data&lt;-variables[-n,]  fit.out&lt;-list()  for (i in (end+1):tail(data$JYear)[6])  {    fit&lt;-lm(model,data = data[data$JYear &gt;= start &amp; data$JYear &lt; i,])    fit.out&lt;-list()    data$model1_sim[data$JYear == i] &lt;- predict(fit, newdata = data[data$JYear == i,])    data$sigma[data$JYear == i] &lt;- sigma(fit, newdata = data[data$JYear == i,])  }  return(data)  data %&gt;%     dplyr::filter(JYear &gt; end) %&gt;%     as.data.frame() %&gt;%     write.csv(., file = paste0(results.directory.MAPE, "results_",model_num,".csv"))  # mape(exp(output$SEAKCatch_log),exp(output$model1_sim))} # function check for one model (one step ahead MAPE)</a:t>
          </a:r>
        </a:p>
        <a:p>
          <a:endParaRPr lang="en-US" sz="1100">
            <a:latin typeface="Aptos Narrow" panose="020B0004020202020204" pitchFamily="34" charset="0"/>
          </a:endParaRPr>
        </a:p>
        <a:p>
          <a:r>
            <a:rPr lang="en-US" sz="1100" b="1">
              <a:latin typeface="Aptos Narrow" panose="020B0004020202020204" pitchFamily="34" charset="0"/>
            </a:rPr>
            <a:t>seak_model_summary1 &lt;- f_model_one_step_ah</a:t>
          </a:r>
          <a:r>
            <a:rPr lang="en-US" sz="1100">
              <a:latin typeface="Aptos Narrow" panose="020B0004020202020204" pitchFamily="34" charset="0"/>
            </a:rPr>
            <a:t>ead(harvest=log_data$SEAKCatch_log, variables=log_data, model = SEAKCatch_log ~CPUE, start = 1997, end = 2013, model_num = "m1")</a:t>
          </a:r>
        </a:p>
        <a:p>
          <a:endParaRPr lang="en-US" sz="1100">
            <a:latin typeface="Aptos Narrow" panose="020B0004020202020204" pitchFamily="34" charset="0"/>
          </a:endParaRPr>
        </a:p>
        <a:p>
          <a:r>
            <a:rPr lang="en-US" sz="1100">
              <a:latin typeface="Aptos Narrow" panose="020B0004020202020204" pitchFamily="34" charset="0"/>
            </a:rPr>
            <a:t>Make sure the return data is NOT commented</a:t>
          </a:r>
          <a:r>
            <a:rPr lang="en-US" sz="1100" baseline="0">
              <a:latin typeface="Aptos Narrow" panose="020B0004020202020204" pitchFamily="34" charset="0"/>
            </a:rPr>
            <a:t> out. The start and end date should be 1997 to 2018 for the 2025 forecast for the 5-year MAPE. </a:t>
          </a:r>
        </a:p>
        <a:p>
          <a:r>
            <a:rPr lang="en-US" sz="1100" baseline="0">
              <a:latin typeface="Aptos Narrow" panose="020B0004020202020204" pitchFamily="34" charset="0"/>
            </a:rPr>
            <a:t>The output from '</a:t>
          </a:r>
          <a:r>
            <a:rPr lang="en-US" sz="110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seak_model_summary1'</a:t>
          </a:r>
          <a:r>
            <a:rPr lang="en-US" sz="110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 in column </a:t>
          </a:r>
          <a:r>
            <a:rPr lang="en-US">
              <a:effectLst/>
              <a:latin typeface="Aptos Narrow" panose="020B0004020202020204" pitchFamily="34" charset="0"/>
            </a:rPr>
            <a:t>model1_sim should be the one-step-ahead MAPEs</a:t>
          </a:r>
          <a:r>
            <a:rPr lang="en-US" baseline="0">
              <a:effectLst/>
              <a:latin typeface="Aptos Narrow" panose="020B0004020202020204" pitchFamily="34" charset="0"/>
            </a:rPr>
            <a:t> for the lat 5 years.</a:t>
          </a:r>
        </a:p>
        <a:p>
          <a:r>
            <a:rPr lang="en-US" sz="1100" baseline="0">
              <a:effectLst/>
              <a:latin typeface="Aptos Narrow" panose="020B0004020202020204" pitchFamily="34" charset="0"/>
            </a:rPr>
            <a:t>(6) Place these values starting in Z23. The rest of the columns should update automatically.</a:t>
          </a:r>
        </a:p>
        <a:p>
          <a:r>
            <a:rPr lang="en-US" sz="1100" baseline="0">
              <a:effectLst/>
              <a:latin typeface="Aptos Narrow" panose="020B0004020202020204" pitchFamily="34" charset="0"/>
            </a:rPr>
            <a:t>(7) Next, run </a:t>
          </a:r>
          <a:r>
            <a:rPr lang="en-US" sz="1100" b="1" baseline="0">
              <a:effectLst/>
              <a:latin typeface="Aptos Narrow" panose="020B0004020202020204" pitchFamily="34" charset="0"/>
            </a:rPr>
            <a:t>the f_model_one_step_ahead_multiple5</a:t>
          </a:r>
          <a:r>
            <a:rPr lang="en-US" sz="1100" baseline="0">
              <a:effectLst/>
              <a:latin typeface="Aptos Narrow" panose="020B0004020202020204" pitchFamily="34" charset="0"/>
            </a:rPr>
            <a:t>(harvest=log_data$SEAKCatch_log, variables=log_data, model.formulas=model.formulas,model.names=model.names, start = 1997, end = 2018)  function in the 1_summarize_models.r file with the same start and end years as in step #5 above. The output will be placed in a csv file in the results folder. The file will be called seak_model_summary_one_step_ahead5.csv.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effectLst/>
              <a:latin typeface="Aptos Narrow" panose="020B0004020202020204" pitchFamily="34" charset="0"/>
            </a:rPr>
            <a:t>(8) Finally, check that the value in cell AC30 matches the value for the CPUE-only model in the file </a:t>
          </a:r>
          <a:r>
            <a:rPr lang="en-US" sz="1100" baseline="0">
              <a:solidFill>
                <a:schemeClr val="dk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seak_model_summary_one_step_ahead5.csv.</a:t>
          </a:r>
          <a:endParaRPr lang="en-US">
            <a:effectLst/>
            <a:latin typeface="Aptos Narrow" panose="020B0004020202020204" pitchFamily="34" charset="0"/>
          </a:endParaRPr>
        </a:p>
        <a:p>
          <a:endParaRPr lang="en-US" sz="1100" baseline="0">
            <a:effectLst/>
          </a:endParaRPr>
        </a:p>
        <a:p>
          <a:endParaRPr lang="en-US" sz="1100" baseline="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8D60-8928-4073-8F0F-ED823BC14FB9}">
  <dimension ref="A1:AD85"/>
  <sheetViews>
    <sheetView tabSelected="1" workbookViewId="0">
      <selection activeCell="I33" sqref="I33"/>
    </sheetView>
  </sheetViews>
  <sheetFormatPr defaultRowHeight="14.4" x14ac:dyDescent="0.3"/>
  <cols>
    <col min="1" max="1" width="5.5546875" style="2" bestFit="1" customWidth="1"/>
    <col min="2" max="2" width="5" style="2" bestFit="1" customWidth="1"/>
    <col min="3" max="3" width="11" style="2" bestFit="1" customWidth="1"/>
    <col min="4" max="4" width="12" style="2" bestFit="1" customWidth="1"/>
    <col min="5" max="5" width="18" style="2" bestFit="1" customWidth="1"/>
    <col min="6" max="6" width="17.33203125" style="2" bestFit="1" customWidth="1"/>
    <col min="7" max="7" width="17.88671875" style="2" bestFit="1" customWidth="1"/>
    <col min="8" max="8" width="18.5546875" style="2" bestFit="1" customWidth="1"/>
    <col min="9" max="9" width="17.88671875" style="2" bestFit="1" customWidth="1"/>
    <col min="10" max="10" width="17.5546875" style="2" bestFit="1" customWidth="1"/>
    <col min="11" max="11" width="18.109375" style="2" bestFit="1" customWidth="1"/>
    <col min="12" max="12" width="18.88671875" style="2" bestFit="1" customWidth="1"/>
    <col min="13" max="13" width="18.109375" style="2" bestFit="1" customWidth="1"/>
    <col min="14" max="14" width="15.109375" style="2" bestFit="1" customWidth="1"/>
    <col min="15" max="15" width="15.6640625" style="2" bestFit="1" customWidth="1"/>
    <col min="16" max="16" width="16.44140625" style="2" bestFit="1" customWidth="1"/>
    <col min="17" max="17" width="15.6640625" style="2" bestFit="1" customWidth="1"/>
    <col min="18" max="18" width="16" style="2" bestFit="1" customWidth="1"/>
    <col min="19" max="19" width="14.33203125" style="2" bestFit="1" customWidth="1"/>
    <col min="20" max="20" width="15" style="2" bestFit="1" customWidth="1"/>
    <col min="21" max="21" width="14.33203125" style="2" bestFit="1" customWidth="1"/>
    <col min="22" max="22" width="16.44140625" style="2" bestFit="1" customWidth="1"/>
    <col min="24" max="24" width="11.5546875" customWidth="1"/>
    <col min="25" max="25" width="12" bestFit="1" customWidth="1"/>
    <col min="33" max="33" width="10" bestFit="1" customWidth="1"/>
  </cols>
  <sheetData>
    <row r="1" spans="1:22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 spans="1:22" x14ac:dyDescent="0.3">
      <c r="A2" s="21">
        <v>1997</v>
      </c>
      <c r="B2" s="21">
        <v>1998</v>
      </c>
      <c r="C2" s="21">
        <v>3.7482974423584401</v>
      </c>
      <c r="D2" s="21">
        <v>5.3327187932653697</v>
      </c>
      <c r="E2" s="21">
        <v>2.48</v>
      </c>
      <c r="F2" s="21">
        <v>2.48</v>
      </c>
      <c r="G2" s="21">
        <v>10.080979770000001</v>
      </c>
      <c r="H2" s="21">
        <v>7.4775079870000001</v>
      </c>
      <c r="I2" s="21">
        <v>8.8294728429999996</v>
      </c>
      <c r="J2" s="21">
        <v>7.588146965</v>
      </c>
      <c r="K2" s="21">
        <v>10.29519048</v>
      </c>
      <c r="L2" s="21">
        <v>7.0071428569999998</v>
      </c>
      <c r="M2" s="21">
        <v>8.8284285709999999</v>
      </c>
      <c r="N2" s="21">
        <v>7.3024761900000001</v>
      </c>
      <c r="O2" s="21">
        <v>10.01928075</v>
      </c>
      <c r="P2" s="21">
        <v>7.3471651790000001</v>
      </c>
      <c r="Q2" s="21">
        <v>8.7070405510000004</v>
      </c>
      <c r="R2" s="21">
        <v>7.404987599</v>
      </c>
      <c r="S2" s="21">
        <v>10.47187257</v>
      </c>
      <c r="T2" s="21">
        <v>7.9995418699999998</v>
      </c>
      <c r="U2" s="21">
        <v>9.1980623359999996</v>
      </c>
      <c r="V2" s="3">
        <f>C2</f>
        <v>3.7482974423584401</v>
      </c>
    </row>
    <row r="3" spans="1:22" x14ac:dyDescent="0.3">
      <c r="A3" s="15">
        <v>1998</v>
      </c>
      <c r="B3" s="15">
        <v>1999</v>
      </c>
      <c r="C3" s="15">
        <v>4.35437411619335</v>
      </c>
      <c r="D3" s="15">
        <v>7.1412451223504902</v>
      </c>
      <c r="E3" s="15">
        <v>5.62</v>
      </c>
      <c r="F3" s="15">
        <v>5.62</v>
      </c>
      <c r="G3" s="15">
        <v>9.8505005319999999</v>
      </c>
      <c r="H3" s="15">
        <v>7.8300958469999999</v>
      </c>
      <c r="I3" s="15">
        <v>8.9109744410000005</v>
      </c>
      <c r="J3" s="15">
        <v>7.8816187429999998</v>
      </c>
      <c r="K3" s="15">
        <v>9.9670000000000005</v>
      </c>
      <c r="L3" s="15">
        <v>7.3432857140000003</v>
      </c>
      <c r="M3" s="15">
        <v>8.8470714289999997</v>
      </c>
      <c r="N3" s="15">
        <v>7.5599523810000004</v>
      </c>
      <c r="O3" s="15">
        <v>9.8928397819999994</v>
      </c>
      <c r="P3" s="15">
        <v>7.6525892860000004</v>
      </c>
      <c r="Q3" s="15">
        <v>8.8466871279999992</v>
      </c>
      <c r="R3" s="15">
        <v>7.7063268850000002</v>
      </c>
      <c r="S3" s="15">
        <v>10.360032540000001</v>
      </c>
      <c r="T3" s="15">
        <v>8.3653098010000004</v>
      </c>
      <c r="U3" s="15">
        <v>9.3788800230000007</v>
      </c>
      <c r="V3" s="13">
        <f t="shared" ref="V3:V29" si="0">C3</f>
        <v>4.35437411619335</v>
      </c>
    </row>
    <row r="4" spans="1:22" x14ac:dyDescent="0.3">
      <c r="A4" s="15">
        <v>1999</v>
      </c>
      <c r="B4" s="15">
        <v>2000</v>
      </c>
      <c r="C4" s="15">
        <v>3.00810427375793</v>
      </c>
      <c r="D4" s="15">
        <v>5.0498560072495398</v>
      </c>
      <c r="E4" s="15">
        <v>1.6</v>
      </c>
      <c r="F4" s="15">
        <v>1.6</v>
      </c>
      <c r="G4" s="15">
        <v>8.8986368480000007</v>
      </c>
      <c r="H4" s="15">
        <v>6.8382428119999998</v>
      </c>
      <c r="I4" s="15">
        <v>8.0495127800000006</v>
      </c>
      <c r="J4" s="15">
        <v>7.1150585729999998</v>
      </c>
      <c r="K4" s="15">
        <v>9.0845714290000004</v>
      </c>
      <c r="L4" s="15">
        <v>6.1695714290000003</v>
      </c>
      <c r="M4" s="15">
        <v>8.0234642859999994</v>
      </c>
      <c r="N4" s="15">
        <v>6.7845714289999997</v>
      </c>
      <c r="O4" s="15">
        <v>8.9289012900000007</v>
      </c>
      <c r="P4" s="15">
        <v>6.699605655</v>
      </c>
      <c r="Q4" s="15">
        <v>7.984099702</v>
      </c>
      <c r="R4" s="15">
        <v>6.9482440480000003</v>
      </c>
      <c r="S4" s="15">
        <v>9.2960182749999998</v>
      </c>
      <c r="T4" s="15">
        <v>7.2300450620000003</v>
      </c>
      <c r="U4" s="15">
        <v>8.4038856549999998</v>
      </c>
      <c r="V4" s="13">
        <f t="shared" si="0"/>
        <v>3.00810427375793</v>
      </c>
    </row>
    <row r="5" spans="1:22" x14ac:dyDescent="0.3">
      <c r="A5" s="15">
        <v>2000</v>
      </c>
      <c r="B5" s="15">
        <v>2001</v>
      </c>
      <c r="C5" s="15">
        <v>4.2050455869413401</v>
      </c>
      <c r="D5" s="15">
        <v>6.3851943989977302</v>
      </c>
      <c r="E5" s="15">
        <v>3.73</v>
      </c>
      <c r="F5" s="15">
        <v>3.73</v>
      </c>
      <c r="G5" s="15">
        <v>9.6976570819999992</v>
      </c>
      <c r="H5" s="15">
        <v>7.3407028749999998</v>
      </c>
      <c r="I5" s="15">
        <v>8.6230271569999992</v>
      </c>
      <c r="J5" s="15">
        <v>7.5238445150000004</v>
      </c>
      <c r="K5" s="15">
        <v>9.9393809520000005</v>
      </c>
      <c r="L5" s="15">
        <v>7.0235714290000004</v>
      </c>
      <c r="M5" s="15">
        <v>8.6746785709999994</v>
      </c>
      <c r="N5" s="15">
        <v>7.35</v>
      </c>
      <c r="O5" s="15">
        <v>9.7047048609999997</v>
      </c>
      <c r="P5" s="15">
        <v>7.2344122019999997</v>
      </c>
      <c r="Q5" s="15">
        <v>8.5671502979999996</v>
      </c>
      <c r="R5" s="15">
        <v>7.3898189480000003</v>
      </c>
      <c r="S5" s="15">
        <v>10.02490049</v>
      </c>
      <c r="T5" s="15">
        <v>7.7128351479999999</v>
      </c>
      <c r="U5" s="15">
        <v>8.9468334590000005</v>
      </c>
      <c r="V5" s="13">
        <f t="shared" si="0"/>
        <v>4.2050455869413401</v>
      </c>
    </row>
    <row r="6" spans="1:22" x14ac:dyDescent="0.3">
      <c r="A6" s="15">
        <v>2001</v>
      </c>
      <c r="B6" s="15">
        <v>2002</v>
      </c>
      <c r="C6" s="15">
        <v>3.8136469526345298</v>
      </c>
      <c r="D6" s="15">
        <v>5.5012582105447301</v>
      </c>
      <c r="E6" s="15">
        <v>2.87</v>
      </c>
      <c r="F6" s="15">
        <v>2.87</v>
      </c>
      <c r="G6" s="15">
        <v>9.1542598510000008</v>
      </c>
      <c r="H6" s="15">
        <v>6.7412460059999999</v>
      </c>
      <c r="I6" s="15">
        <v>8.1831549520000006</v>
      </c>
      <c r="J6" s="15">
        <v>7.1211075609999996</v>
      </c>
      <c r="K6" s="15">
        <v>9.566809524</v>
      </c>
      <c r="L6" s="15">
        <v>6.4779999999999998</v>
      </c>
      <c r="M6" s="15">
        <v>8.3993571429999996</v>
      </c>
      <c r="N6" s="15">
        <v>7.0817619049999996</v>
      </c>
      <c r="O6" s="15">
        <v>9.2218005949999995</v>
      </c>
      <c r="P6" s="15">
        <v>6.6594196429999997</v>
      </c>
      <c r="Q6" s="15">
        <v>8.173500744</v>
      </c>
      <c r="R6" s="15">
        <v>7.0113392860000001</v>
      </c>
      <c r="S6" s="15">
        <v>9.5105219680000008</v>
      </c>
      <c r="T6" s="15">
        <v>7.1014870449999998</v>
      </c>
      <c r="U6" s="15">
        <v>8.5227544119999994</v>
      </c>
      <c r="V6" s="13">
        <f t="shared" si="0"/>
        <v>3.8136469526345298</v>
      </c>
    </row>
    <row r="7" spans="1:22" x14ac:dyDescent="0.3">
      <c r="A7" s="15">
        <v>2002</v>
      </c>
      <c r="B7" s="15">
        <v>2003</v>
      </c>
      <c r="C7" s="15">
        <v>3.96017934972858</v>
      </c>
      <c r="D7" s="15">
        <v>6.10924758276437</v>
      </c>
      <c r="E7" s="15">
        <v>2.78</v>
      </c>
      <c r="F7" s="15">
        <v>2.78</v>
      </c>
      <c r="G7" s="15">
        <v>8.9707667729999994</v>
      </c>
      <c r="H7" s="15">
        <v>6.3864856229999996</v>
      </c>
      <c r="I7" s="15">
        <v>7.8458146959999997</v>
      </c>
      <c r="J7" s="15">
        <v>6.6410649629999998</v>
      </c>
      <c r="K7" s="15">
        <v>9.3363333330000007</v>
      </c>
      <c r="L7" s="15">
        <v>6.2635714289999997</v>
      </c>
      <c r="M7" s="15">
        <v>8.0199285709999995</v>
      </c>
      <c r="N7" s="15">
        <v>6.5982380950000001</v>
      </c>
      <c r="O7" s="15">
        <v>9.0545337299999993</v>
      </c>
      <c r="P7" s="15">
        <v>6.3929538690000003</v>
      </c>
      <c r="Q7" s="15">
        <v>7.8834858629999998</v>
      </c>
      <c r="R7" s="15">
        <v>6.6144667659999996</v>
      </c>
      <c r="S7" s="15">
        <v>9.4415095759999996</v>
      </c>
      <c r="T7" s="15">
        <v>6.9205595190000002</v>
      </c>
      <c r="U7" s="15">
        <v>8.3329046190000007</v>
      </c>
      <c r="V7" s="13">
        <f t="shared" si="0"/>
        <v>3.96017934972858</v>
      </c>
    </row>
    <row r="8" spans="1:22" x14ac:dyDescent="0.3">
      <c r="A8" s="15">
        <v>2003</v>
      </c>
      <c r="B8" s="15">
        <v>2004</v>
      </c>
      <c r="C8" s="15">
        <v>3.8135221086961901</v>
      </c>
      <c r="D8" s="15">
        <v>5.3181199938442196</v>
      </c>
      <c r="E8" s="15">
        <v>3.08</v>
      </c>
      <c r="F8" s="15">
        <v>3.08</v>
      </c>
      <c r="G8" s="15">
        <v>9.9188924390000004</v>
      </c>
      <c r="H8" s="15">
        <v>7.7127156550000002</v>
      </c>
      <c r="I8" s="15">
        <v>8.9037220450000003</v>
      </c>
      <c r="J8" s="15">
        <v>7.8454419599999996</v>
      </c>
      <c r="K8" s="15">
        <v>10.08133333</v>
      </c>
      <c r="L8" s="15">
        <v>7.2862857139999999</v>
      </c>
      <c r="M8" s="15">
        <v>8.8821785710000007</v>
      </c>
      <c r="N8" s="15">
        <v>7.5317142859999997</v>
      </c>
      <c r="O8" s="15">
        <v>9.8581101189999991</v>
      </c>
      <c r="P8" s="15">
        <v>7.5715401790000003</v>
      </c>
      <c r="Q8" s="15">
        <v>8.7582626490000006</v>
      </c>
      <c r="R8" s="15">
        <v>7.6040997020000001</v>
      </c>
      <c r="S8" s="15">
        <v>10.318872199999999</v>
      </c>
      <c r="T8" s="15">
        <v>8.1685467519999992</v>
      </c>
      <c r="U8" s="15">
        <v>9.2495465639999992</v>
      </c>
      <c r="V8" s="13">
        <f t="shared" si="0"/>
        <v>3.8135221086961901</v>
      </c>
    </row>
    <row r="9" spans="1:22" x14ac:dyDescent="0.3">
      <c r="A9" s="15">
        <v>2004</v>
      </c>
      <c r="B9" s="15">
        <v>2005</v>
      </c>
      <c r="C9" s="15">
        <v>4.0795944285563799</v>
      </c>
      <c r="D9" s="15">
        <v>6.8046145200626196</v>
      </c>
      <c r="E9" s="15">
        <v>3.9</v>
      </c>
      <c r="F9" s="15">
        <v>3.9</v>
      </c>
      <c r="G9" s="15">
        <v>10.43404686</v>
      </c>
      <c r="H9" s="15">
        <v>7.9432907349999997</v>
      </c>
      <c r="I9" s="15">
        <v>9.2192811500000005</v>
      </c>
      <c r="J9" s="15">
        <v>7.9640468579999997</v>
      </c>
      <c r="K9" s="15">
        <v>10.67757143</v>
      </c>
      <c r="L9" s="15">
        <v>7.5287142859999996</v>
      </c>
      <c r="M9" s="15">
        <v>9.2509285709999993</v>
      </c>
      <c r="N9" s="15">
        <v>7.6878095240000004</v>
      </c>
      <c r="O9" s="15">
        <v>10.38101438</v>
      </c>
      <c r="P9" s="15">
        <v>7.8927752980000001</v>
      </c>
      <c r="Q9" s="15">
        <v>9.0901748510000004</v>
      </c>
      <c r="R9" s="15">
        <v>7.7863864090000003</v>
      </c>
      <c r="S9" s="15">
        <v>10.97719614</v>
      </c>
      <c r="T9" s="15">
        <v>8.5784265869999992</v>
      </c>
      <c r="U9" s="15">
        <v>9.7426886970000002</v>
      </c>
      <c r="V9" s="13">
        <f t="shared" si="0"/>
        <v>4.0795944285563799</v>
      </c>
    </row>
    <row r="10" spans="1:22" x14ac:dyDescent="0.3">
      <c r="A10" s="15">
        <v>2005</v>
      </c>
      <c r="B10" s="15">
        <v>2006</v>
      </c>
      <c r="C10" s="15">
        <v>2.4515652860053598</v>
      </c>
      <c r="D10" s="15">
        <v>5.0625950330269696</v>
      </c>
      <c r="E10" s="15">
        <v>2.04</v>
      </c>
      <c r="F10" s="15">
        <v>2.04</v>
      </c>
      <c r="G10" s="15">
        <v>10.667763580000001</v>
      </c>
      <c r="H10" s="15">
        <v>8.5138658150000008</v>
      </c>
      <c r="I10" s="15">
        <v>9.4794568689999998</v>
      </c>
      <c r="J10" s="15">
        <v>8.4435250269999997</v>
      </c>
      <c r="K10" s="15">
        <v>11.15685714</v>
      </c>
      <c r="L10" s="15">
        <v>8.4048571429999992</v>
      </c>
      <c r="M10" s="15">
        <v>9.6408571429999999</v>
      </c>
      <c r="N10" s="15">
        <v>8.2555714289999997</v>
      </c>
      <c r="O10" s="15">
        <v>10.63086062</v>
      </c>
      <c r="P10" s="15">
        <v>8.4178199399999993</v>
      </c>
      <c r="Q10" s="15">
        <v>9.3518470980000004</v>
      </c>
      <c r="R10" s="15">
        <v>8.2556820440000003</v>
      </c>
      <c r="S10" s="15">
        <v>11.06199524</v>
      </c>
      <c r="T10" s="15">
        <v>8.9235486290000008</v>
      </c>
      <c r="U10" s="15">
        <v>9.8301182879999995</v>
      </c>
      <c r="V10" s="13">
        <f t="shared" si="0"/>
        <v>2.4515652860053598</v>
      </c>
    </row>
    <row r="11" spans="1:22" x14ac:dyDescent="0.3">
      <c r="A11" s="15">
        <v>2006</v>
      </c>
      <c r="B11" s="15">
        <v>2007</v>
      </c>
      <c r="C11" s="15">
        <v>3.8021277120796002</v>
      </c>
      <c r="D11" s="15">
        <v>6.14418563412565</v>
      </c>
      <c r="E11" s="15">
        <v>2.57</v>
      </c>
      <c r="F11" s="15">
        <v>2.57</v>
      </c>
      <c r="G11" s="15">
        <v>9.7760489879999994</v>
      </c>
      <c r="H11" s="15">
        <v>7.159872204</v>
      </c>
      <c r="I11" s="15">
        <v>8.6756150160000001</v>
      </c>
      <c r="J11" s="15">
        <v>7.5834185300000003</v>
      </c>
      <c r="K11" s="15">
        <v>10.19233333</v>
      </c>
      <c r="L11" s="15">
        <v>6.8385714289999999</v>
      </c>
      <c r="M11" s="15">
        <v>8.8607142860000003</v>
      </c>
      <c r="N11" s="15">
        <v>7.4878095240000002</v>
      </c>
      <c r="O11" s="15">
        <v>9.7206746030000009</v>
      </c>
      <c r="P11" s="15">
        <v>6.9797693450000002</v>
      </c>
      <c r="Q11" s="15">
        <v>8.5501153270000003</v>
      </c>
      <c r="R11" s="15">
        <v>7.3633283729999999</v>
      </c>
      <c r="S11" s="15">
        <v>10.185965700000001</v>
      </c>
      <c r="T11" s="15">
        <v>7.6320277880000003</v>
      </c>
      <c r="U11" s="15">
        <v>9.0690508820000009</v>
      </c>
      <c r="V11" s="13">
        <f t="shared" si="0"/>
        <v>3.8021277120796002</v>
      </c>
    </row>
    <row r="12" spans="1:22" x14ac:dyDescent="0.3">
      <c r="A12" s="15">
        <v>2007</v>
      </c>
      <c r="B12" s="15">
        <v>2008</v>
      </c>
      <c r="C12" s="15">
        <v>2.7668802096415401</v>
      </c>
      <c r="D12" s="15">
        <v>3.8501476017100602</v>
      </c>
      <c r="E12" s="15">
        <v>1.17</v>
      </c>
      <c r="F12" s="15">
        <v>1.17</v>
      </c>
      <c r="G12" s="15">
        <v>9.5219808310000005</v>
      </c>
      <c r="H12" s="15">
        <v>7.042204473</v>
      </c>
      <c r="I12" s="15">
        <v>8.4075718849999994</v>
      </c>
      <c r="J12" s="15">
        <v>7.2669222580000001</v>
      </c>
      <c r="K12" s="15">
        <v>9.4948571430000008</v>
      </c>
      <c r="L12" s="15">
        <v>6.548</v>
      </c>
      <c r="M12" s="15">
        <v>8.1613214289999991</v>
      </c>
      <c r="N12" s="15">
        <v>6.8666666669999996</v>
      </c>
      <c r="O12" s="15">
        <v>9.4352554560000002</v>
      </c>
      <c r="P12" s="15">
        <v>6.8987797620000002</v>
      </c>
      <c r="Q12" s="15">
        <v>8.2372414430000003</v>
      </c>
      <c r="R12" s="15">
        <v>7.0310069439999996</v>
      </c>
      <c r="S12" s="15">
        <v>9.9920766049999994</v>
      </c>
      <c r="T12" s="15">
        <v>7.5117348850000001</v>
      </c>
      <c r="U12" s="15">
        <v>8.8221460759999992</v>
      </c>
      <c r="V12" s="13">
        <f t="shared" si="0"/>
        <v>2.7668802096415401</v>
      </c>
    </row>
    <row r="13" spans="1:22" x14ac:dyDescent="0.3">
      <c r="A13" s="15">
        <v>2010</v>
      </c>
      <c r="B13" s="15">
        <v>2011</v>
      </c>
      <c r="C13" s="15">
        <v>4.0755363583230402</v>
      </c>
      <c r="D13" s="15">
        <v>9.4319627669184491</v>
      </c>
      <c r="E13" s="15">
        <v>4.1100000000000003</v>
      </c>
      <c r="F13" s="15">
        <v>4.1100000000000003</v>
      </c>
      <c r="G13" s="15">
        <v>9.6454100109999992</v>
      </c>
      <c r="H13" s="15">
        <v>7.969105431</v>
      </c>
      <c r="I13" s="15">
        <v>8.6617012780000007</v>
      </c>
      <c r="J13" s="15">
        <v>7.925846645</v>
      </c>
      <c r="K13" s="15">
        <v>9.8727619050000008</v>
      </c>
      <c r="L13" s="15">
        <v>7.7087142860000002</v>
      </c>
      <c r="M13" s="15">
        <v>8.6808928569999999</v>
      </c>
      <c r="N13" s="15">
        <v>7.8079047619999997</v>
      </c>
      <c r="O13" s="15">
        <v>9.6237227179999998</v>
      </c>
      <c r="P13" s="15">
        <v>7.7555654760000001</v>
      </c>
      <c r="Q13" s="15">
        <v>8.5403999259999992</v>
      </c>
      <c r="R13" s="15">
        <v>7.7192187499999996</v>
      </c>
      <c r="S13" s="15">
        <v>10.0920691</v>
      </c>
      <c r="T13" s="15">
        <v>8.2834059329999992</v>
      </c>
      <c r="U13" s="15">
        <v>9.0522324449999996</v>
      </c>
      <c r="V13" s="13">
        <f t="shared" si="0"/>
        <v>4.0755363583230402</v>
      </c>
    </row>
    <row r="14" spans="1:22" x14ac:dyDescent="0.3">
      <c r="A14" s="15">
        <v>2011</v>
      </c>
      <c r="B14" s="15">
        <v>2012</v>
      </c>
      <c r="C14" s="15">
        <v>3.05762752307515</v>
      </c>
      <c r="D14" s="15">
        <v>5.7071102647488798</v>
      </c>
      <c r="E14" s="15">
        <v>1.45</v>
      </c>
      <c r="F14" s="15">
        <v>1.45</v>
      </c>
      <c r="G14" s="15">
        <v>9.5912886050000008</v>
      </c>
      <c r="H14" s="15">
        <v>7.3124281150000003</v>
      </c>
      <c r="I14" s="15">
        <v>8.492771565</v>
      </c>
      <c r="J14" s="15">
        <v>7.5477635779999996</v>
      </c>
      <c r="K14" s="15">
        <v>9.8437142860000009</v>
      </c>
      <c r="L14" s="15">
        <v>6.8098571430000003</v>
      </c>
      <c r="M14" s="15">
        <v>8.4745357139999999</v>
      </c>
      <c r="N14" s="15">
        <v>7.1788095240000001</v>
      </c>
      <c r="O14" s="15">
        <v>9.6650322420000006</v>
      </c>
      <c r="P14" s="15">
        <v>7.2518080359999999</v>
      </c>
      <c r="Q14" s="15">
        <v>8.4370368300000003</v>
      </c>
      <c r="R14" s="15">
        <v>7.4364484129999999</v>
      </c>
      <c r="S14" s="15">
        <v>10.051732380000001</v>
      </c>
      <c r="T14" s="15">
        <v>7.7402966580000001</v>
      </c>
      <c r="U14" s="15">
        <v>8.8831627859999998</v>
      </c>
      <c r="V14" s="13">
        <f t="shared" si="0"/>
        <v>3.05762752307515</v>
      </c>
    </row>
    <row r="15" spans="1:22" x14ac:dyDescent="0.3">
      <c r="A15" s="15">
        <v>2012</v>
      </c>
      <c r="B15" s="15">
        <v>2013</v>
      </c>
      <c r="C15" s="15">
        <v>4.5509190689211296</v>
      </c>
      <c r="D15" s="15">
        <v>8.5157922105006101</v>
      </c>
      <c r="E15" s="15">
        <v>3.52</v>
      </c>
      <c r="F15" s="15">
        <v>3.52</v>
      </c>
      <c r="G15" s="15">
        <v>9.1682428120000008</v>
      </c>
      <c r="H15" s="15">
        <v>7.0715654949999998</v>
      </c>
      <c r="I15" s="15">
        <v>8.1818610219999997</v>
      </c>
      <c r="J15" s="15">
        <v>7.2241427050000002</v>
      </c>
      <c r="K15" s="15">
        <v>9.2320476189999994</v>
      </c>
      <c r="L15" s="15">
        <v>6.9248571429999997</v>
      </c>
      <c r="M15" s="15">
        <v>8.1041785710000003</v>
      </c>
      <c r="N15" s="15">
        <v>7.0669523810000001</v>
      </c>
      <c r="O15" s="15">
        <v>9.1412822420000008</v>
      </c>
      <c r="P15" s="15">
        <v>6.9519866070000003</v>
      </c>
      <c r="Q15" s="15">
        <v>8.0884858630000007</v>
      </c>
      <c r="R15" s="15">
        <v>7.1025570440000001</v>
      </c>
      <c r="S15" s="15">
        <v>9.6794817870000003</v>
      </c>
      <c r="T15" s="15">
        <v>7.4688509200000004</v>
      </c>
      <c r="U15" s="15">
        <v>8.6274708970000002</v>
      </c>
      <c r="V15" s="13">
        <f t="shared" si="0"/>
        <v>4.5509190689211296</v>
      </c>
    </row>
    <row r="16" spans="1:22" x14ac:dyDescent="0.3">
      <c r="A16" s="15">
        <v>2013</v>
      </c>
      <c r="B16" s="15">
        <v>2014</v>
      </c>
      <c r="C16" s="15">
        <v>3.61560596060911</v>
      </c>
      <c r="D16" s="15">
        <v>6.8001700683021999</v>
      </c>
      <c r="E16" s="15">
        <v>2.14</v>
      </c>
      <c r="F16" s="15">
        <v>2.14</v>
      </c>
      <c r="G16" s="15">
        <v>9.6562300319999999</v>
      </c>
      <c r="H16" s="15">
        <v>6.7413099040000004</v>
      </c>
      <c r="I16" s="15">
        <v>8.4417971250000008</v>
      </c>
      <c r="J16" s="15">
        <v>7.2136315230000001</v>
      </c>
      <c r="K16" s="15">
        <v>9.8807142859999999</v>
      </c>
      <c r="L16" s="15">
        <v>6.3698571429999999</v>
      </c>
      <c r="M16" s="15">
        <v>8.4521428570000001</v>
      </c>
      <c r="N16" s="15">
        <v>6.9739523810000001</v>
      </c>
      <c r="O16" s="15">
        <v>9.6731175599999997</v>
      </c>
      <c r="P16" s="15">
        <v>6.5887351189999999</v>
      </c>
      <c r="Q16" s="15">
        <v>8.3551581099999996</v>
      </c>
      <c r="R16" s="15">
        <v>7.041044147</v>
      </c>
      <c r="S16" s="15">
        <v>10.39433346</v>
      </c>
      <c r="T16" s="15">
        <v>7.5108599319999998</v>
      </c>
      <c r="U16" s="15">
        <v>9.1048028540000008</v>
      </c>
      <c r="V16" s="13">
        <f t="shared" si="0"/>
        <v>3.61560596060911</v>
      </c>
    </row>
    <row r="17" spans="1:30" x14ac:dyDescent="0.3">
      <c r="A17" s="15">
        <v>2014</v>
      </c>
      <c r="B17" s="15">
        <v>2015</v>
      </c>
      <c r="C17" s="15">
        <v>3.5579893701604499</v>
      </c>
      <c r="D17" s="15">
        <v>7.6732231211217101</v>
      </c>
      <c r="E17" s="15">
        <v>3.82</v>
      </c>
      <c r="F17" s="15">
        <v>3.82</v>
      </c>
      <c r="G17" s="15">
        <v>9.9751757189999992</v>
      </c>
      <c r="H17" s="15">
        <v>8.1652396169999992</v>
      </c>
      <c r="I17" s="15">
        <v>8.7557987219999998</v>
      </c>
      <c r="J17" s="15">
        <v>7.7676890309999997</v>
      </c>
      <c r="K17" s="15">
        <v>10.23414286</v>
      </c>
      <c r="L17" s="15">
        <v>7.8972857139999997</v>
      </c>
      <c r="M17" s="15">
        <v>8.8102499999999999</v>
      </c>
      <c r="N17" s="15">
        <v>7.6229523810000002</v>
      </c>
      <c r="O17" s="15">
        <v>10.028618549999999</v>
      </c>
      <c r="P17" s="15">
        <v>8.1538690480000007</v>
      </c>
      <c r="Q17" s="15">
        <v>8.7010342260000009</v>
      </c>
      <c r="R17" s="15">
        <v>7.637539683</v>
      </c>
      <c r="S17" s="15">
        <v>10.569357869999999</v>
      </c>
      <c r="T17" s="15">
        <v>8.615362373</v>
      </c>
      <c r="U17" s="15">
        <v>9.2643174990000006</v>
      </c>
      <c r="V17" s="13">
        <f t="shared" si="0"/>
        <v>3.5579893701604499</v>
      </c>
    </row>
    <row r="18" spans="1:30" x14ac:dyDescent="0.3">
      <c r="A18" s="15">
        <v>2015</v>
      </c>
      <c r="B18" s="15">
        <v>2016</v>
      </c>
      <c r="C18" s="15">
        <v>2.9109475067361501</v>
      </c>
      <c r="D18" s="15">
        <v>6.7202201551352996</v>
      </c>
      <c r="E18" s="15">
        <v>2.4500000000000002</v>
      </c>
      <c r="F18" s="15">
        <v>2.4500000000000002</v>
      </c>
      <c r="G18" s="15">
        <v>10.6215229</v>
      </c>
      <c r="H18" s="15">
        <v>8.8737699679999995</v>
      </c>
      <c r="I18" s="15">
        <v>9.5544888179999994</v>
      </c>
      <c r="J18" s="15">
        <v>8.73</v>
      </c>
      <c r="K18" s="15">
        <v>10.72547619</v>
      </c>
      <c r="L18" s="15">
        <v>8.3411428569999995</v>
      </c>
      <c r="M18" s="15">
        <v>9.4307142860000006</v>
      </c>
      <c r="N18" s="15">
        <v>8.2924761900000004</v>
      </c>
      <c r="O18" s="15">
        <v>10.80536706</v>
      </c>
      <c r="P18" s="15">
        <v>8.9189360119999996</v>
      </c>
      <c r="Q18" s="15">
        <v>9.5593154760000001</v>
      </c>
      <c r="R18" s="15">
        <v>8.6534176590000005</v>
      </c>
      <c r="S18" s="15">
        <v>11.42881086</v>
      </c>
      <c r="T18" s="15">
        <v>9.6438941039999992</v>
      </c>
      <c r="U18" s="15">
        <v>10.213680999999999</v>
      </c>
      <c r="V18" s="13">
        <f t="shared" si="0"/>
        <v>2.9109475067361501</v>
      </c>
    </row>
    <row r="19" spans="1:30" x14ac:dyDescent="0.3">
      <c r="A19" s="15">
        <v>2016</v>
      </c>
      <c r="B19" s="15">
        <v>2017</v>
      </c>
      <c r="C19" s="15">
        <v>3.5477413177180299</v>
      </c>
      <c r="D19" s="15">
        <v>7.9377317752601098</v>
      </c>
      <c r="E19" s="15">
        <v>4.3499999999999996</v>
      </c>
      <c r="F19" s="15">
        <v>4.3499999999999996</v>
      </c>
      <c r="G19" s="15">
        <v>11.037145900000001</v>
      </c>
      <c r="H19" s="15">
        <v>8.9155271569999996</v>
      </c>
      <c r="I19" s="15">
        <v>10.033690099999999</v>
      </c>
      <c r="J19" s="15">
        <v>9.0681469650000004</v>
      </c>
      <c r="K19" s="15">
        <v>11.64580952</v>
      </c>
      <c r="L19" s="15">
        <v>8.8067142860000001</v>
      </c>
      <c r="M19" s="15">
        <v>10.37092857</v>
      </c>
      <c r="N19" s="15">
        <v>9.1376666669999995</v>
      </c>
      <c r="O19" s="15">
        <v>11.180634919999999</v>
      </c>
      <c r="P19" s="15">
        <v>8.9170684520000005</v>
      </c>
      <c r="Q19" s="15">
        <v>10.053041289999999</v>
      </c>
      <c r="R19" s="15">
        <v>9.0013814480000001</v>
      </c>
      <c r="S19" s="15">
        <v>11.670022530000001</v>
      </c>
      <c r="T19" s="15">
        <v>9.6072174239999999</v>
      </c>
      <c r="U19" s="15">
        <v>10.59035205</v>
      </c>
      <c r="V19" s="13">
        <f t="shared" si="0"/>
        <v>3.5477413177180299</v>
      </c>
    </row>
    <row r="20" spans="1:30" x14ac:dyDescent="0.3">
      <c r="A20" s="15">
        <v>2017</v>
      </c>
      <c r="B20" s="15">
        <v>2018</v>
      </c>
      <c r="C20" s="15">
        <v>2.08786843546409</v>
      </c>
      <c r="D20" s="15">
        <v>3.55534806148941</v>
      </c>
      <c r="E20" s="15">
        <v>0.35</v>
      </c>
      <c r="F20" s="15">
        <v>0.35</v>
      </c>
      <c r="G20" s="15">
        <v>9.6549094780000004</v>
      </c>
      <c r="H20" s="15">
        <v>7.6529392969999996</v>
      </c>
      <c r="I20" s="15">
        <v>8.6958226839999995</v>
      </c>
      <c r="J20" s="15">
        <v>7.759669862</v>
      </c>
      <c r="K20" s="15">
        <v>9.8199523810000002</v>
      </c>
      <c r="L20" s="15">
        <v>7.2157142859999999</v>
      </c>
      <c r="M20" s="15">
        <v>8.6625714289999998</v>
      </c>
      <c r="N20" s="15">
        <v>7.5067142860000002</v>
      </c>
      <c r="O20" s="15">
        <v>9.8214360119999995</v>
      </c>
      <c r="P20" s="15">
        <v>7.75</v>
      </c>
      <c r="Q20" s="15">
        <v>8.7661365329999992</v>
      </c>
      <c r="R20" s="15">
        <v>7.7769122020000001</v>
      </c>
      <c r="S20" s="15">
        <v>10.308907250000001</v>
      </c>
      <c r="T20" s="15">
        <v>8.2547765680000005</v>
      </c>
      <c r="U20" s="15">
        <v>9.282535674</v>
      </c>
      <c r="V20" s="13">
        <f t="shared" si="0"/>
        <v>2.08786843546409</v>
      </c>
    </row>
    <row r="21" spans="1:30" x14ac:dyDescent="0.3">
      <c r="A21" s="15">
        <v>2018</v>
      </c>
      <c r="B21" s="15">
        <v>2019</v>
      </c>
      <c r="C21" s="15">
        <v>3.0512573264080798</v>
      </c>
      <c r="D21" s="15">
        <v>3.9318256327243302</v>
      </c>
      <c r="E21" s="15">
        <v>1.17</v>
      </c>
      <c r="F21" s="15">
        <v>1.17</v>
      </c>
      <c r="G21" s="15">
        <v>9.8706709270000008</v>
      </c>
      <c r="H21" s="15">
        <v>7.4035463259999998</v>
      </c>
      <c r="I21" s="15">
        <v>8.7536821089999997</v>
      </c>
      <c r="J21" s="15">
        <v>7.6142918000000002</v>
      </c>
      <c r="K21" s="15">
        <v>9.9863809519999993</v>
      </c>
      <c r="L21" s="15">
        <v>6.9205714289999998</v>
      </c>
      <c r="M21" s="15">
        <v>8.7390000000000008</v>
      </c>
      <c r="N21" s="15">
        <v>7.4327142860000004</v>
      </c>
      <c r="O21" s="15">
        <v>10.10597718</v>
      </c>
      <c r="P21" s="15">
        <v>7.533891369</v>
      </c>
      <c r="Q21" s="15">
        <v>8.8577901790000002</v>
      </c>
      <c r="R21" s="15">
        <v>7.6262425599999997</v>
      </c>
      <c r="S21" s="15">
        <v>10.786515209999999</v>
      </c>
      <c r="T21" s="15">
        <v>8.2795456250000008</v>
      </c>
      <c r="U21" s="15">
        <v>9.5379797219999993</v>
      </c>
      <c r="V21" s="13">
        <f t="shared" si="0"/>
        <v>3.0512573264080798</v>
      </c>
    </row>
    <row r="22" spans="1:30" x14ac:dyDescent="0.3">
      <c r="A22" s="15">
        <v>2019</v>
      </c>
      <c r="B22" s="15">
        <v>2020</v>
      </c>
      <c r="C22" s="15">
        <v>2.0872843314454701</v>
      </c>
      <c r="D22" s="15">
        <v>5.3181199938442196</v>
      </c>
      <c r="E22" s="15">
        <v>1.1399999999999999</v>
      </c>
      <c r="F22" s="15">
        <v>1.1399999999999999</v>
      </c>
      <c r="G22" s="15">
        <v>10.470244940000001</v>
      </c>
      <c r="H22" s="15">
        <v>8.2439936100000004</v>
      </c>
      <c r="I22" s="15">
        <v>9.4555431310000007</v>
      </c>
      <c r="J22" s="15">
        <v>8.3549307769999999</v>
      </c>
      <c r="K22" s="15">
        <v>10.738714290000001</v>
      </c>
      <c r="L22" s="15">
        <v>7.7865714290000003</v>
      </c>
      <c r="M22" s="15">
        <v>9.5140357140000003</v>
      </c>
      <c r="N22" s="15">
        <v>8.0991428570000004</v>
      </c>
      <c r="O22" s="15">
        <v>10.871257440000001</v>
      </c>
      <c r="P22" s="15">
        <v>8.4230133929999997</v>
      </c>
      <c r="Q22" s="15">
        <v>9.6499702379999999</v>
      </c>
      <c r="R22" s="15">
        <v>8.4364087300000001</v>
      </c>
      <c r="S22" s="15">
        <v>11.463307049999999</v>
      </c>
      <c r="T22" s="15">
        <v>9.0132031539999993</v>
      </c>
      <c r="U22" s="15">
        <v>10.24567124</v>
      </c>
      <c r="V22" s="13">
        <f t="shared" si="0"/>
        <v>2.0872843314454701</v>
      </c>
      <c r="Y22" s="7" t="s">
        <v>47</v>
      </c>
      <c r="Z22" s="7" t="s">
        <v>47</v>
      </c>
      <c r="AA22" s="7" t="s">
        <v>48</v>
      </c>
      <c r="AB22" s="7" t="s">
        <v>49</v>
      </c>
      <c r="AC22" s="7" t="s">
        <v>50</v>
      </c>
      <c r="AD22" s="7" t="s">
        <v>50</v>
      </c>
    </row>
    <row r="23" spans="1:30" x14ac:dyDescent="0.3">
      <c r="A23" s="16">
        <v>2020</v>
      </c>
      <c r="B23" s="15">
        <v>2021</v>
      </c>
      <c r="C23" s="15">
        <v>3.8821449074171301</v>
      </c>
      <c r="D23" s="15">
        <v>4.4067192472642498</v>
      </c>
      <c r="E23" s="15">
        <v>2.15</v>
      </c>
      <c r="F23" s="15">
        <v>2.15</v>
      </c>
      <c r="G23" s="15">
        <v>9.9938764639999995</v>
      </c>
      <c r="H23" s="15">
        <v>8.0894249200000008</v>
      </c>
      <c r="I23" s="15">
        <v>8.8353753990000001</v>
      </c>
      <c r="J23" s="15">
        <v>7.860308839</v>
      </c>
      <c r="K23" s="15">
        <v>10.397142860000001</v>
      </c>
      <c r="L23" s="15">
        <v>7.8339999999999996</v>
      </c>
      <c r="M23" s="15">
        <v>9.0485714290000008</v>
      </c>
      <c r="N23" s="15">
        <v>7.8556190480000003</v>
      </c>
      <c r="O23" s="15">
        <v>10.22914435</v>
      </c>
      <c r="P23" s="15">
        <v>8.264471726</v>
      </c>
      <c r="Q23" s="15">
        <v>8.9823586310000003</v>
      </c>
      <c r="R23" s="15">
        <v>7.9448065479999999</v>
      </c>
      <c r="S23" s="15">
        <v>10.702761300000001</v>
      </c>
      <c r="T23" s="15">
        <v>8.8981975220000002</v>
      </c>
      <c r="U23" s="15">
        <v>9.5223939170000005</v>
      </c>
      <c r="V23" s="13">
        <f t="shared" si="0"/>
        <v>3.8821449074171301</v>
      </c>
      <c r="Y23" s="4">
        <f>$F$48+($F$49*E24)</f>
        <v>2.7036720495763862</v>
      </c>
      <c r="Z23" s="1">
        <v>2.7036720000000001</v>
      </c>
      <c r="AA23" s="4">
        <f>EXP(Z23)</f>
        <v>14.934470538722527</v>
      </c>
      <c r="AB23" s="4">
        <f>EXP(V24)</f>
        <v>18.299158000000027</v>
      </c>
      <c r="AC23" s="4">
        <f>AVERAGE(ABS((AB23-AA23)/AB23))</f>
        <v>0.18387116288506253</v>
      </c>
      <c r="AD23" s="4">
        <f>(ABS((V24-Z23)/V24))</f>
        <v>6.9897894636841151E-2</v>
      </c>
    </row>
    <row r="24" spans="1:30" x14ac:dyDescent="0.3">
      <c r="A24" s="16">
        <v>2021</v>
      </c>
      <c r="B24" s="15">
        <v>2022</v>
      </c>
      <c r="C24" s="15">
        <v>2.9068550478598798</v>
      </c>
      <c r="D24" s="15">
        <v>4.4626186419547604</v>
      </c>
      <c r="E24" s="17">
        <v>0.87</v>
      </c>
      <c r="F24" s="15">
        <v>0.87</v>
      </c>
      <c r="G24" s="15">
        <v>10.06083067</v>
      </c>
      <c r="H24" s="15">
        <v>7.2485622999999997</v>
      </c>
      <c r="I24" s="15">
        <v>8.8951597440000008</v>
      </c>
      <c r="J24" s="15">
        <v>7.6291906279999999</v>
      </c>
      <c r="K24" s="15">
        <v>10.25933333</v>
      </c>
      <c r="L24" s="15">
        <v>6.9135714290000001</v>
      </c>
      <c r="M24" s="15">
        <v>8.9066428569999996</v>
      </c>
      <c r="N24" s="15">
        <v>7.468</v>
      </c>
      <c r="O24" s="15">
        <v>10.22695437</v>
      </c>
      <c r="P24" s="15">
        <v>7.2937872019999999</v>
      </c>
      <c r="Q24" s="15">
        <v>8.9576636900000004</v>
      </c>
      <c r="R24" s="15">
        <v>7.6468948409999999</v>
      </c>
      <c r="S24" s="15">
        <v>10.81557892</v>
      </c>
      <c r="T24" s="15">
        <v>7.9704431089999996</v>
      </c>
      <c r="U24" s="15">
        <v>9.5849136309999992</v>
      </c>
      <c r="V24" s="13">
        <f t="shared" si="0"/>
        <v>2.9068550478598798</v>
      </c>
      <c r="Z24" s="1">
        <v>3.8806150000000001</v>
      </c>
      <c r="AA24" s="4">
        <f>EXP(Z24)</f>
        <v>48.454005123116033</v>
      </c>
      <c r="AB24" s="4">
        <f t="shared" ref="AB24:AB27" si="1">EXP(V25)</f>
        <v>48.453995000000219</v>
      </c>
      <c r="AC24" s="4">
        <f>AVERAGE(ABS((AB24-AA24)/AB24))</f>
        <v>2.089222119673211E-7</v>
      </c>
      <c r="AD24" s="4">
        <f>(ABS((V25-Z24)/V25))</f>
        <v>5.38373947073978E-8</v>
      </c>
    </row>
    <row r="25" spans="1:30" x14ac:dyDescent="0.3">
      <c r="A25" s="16">
        <v>2022</v>
      </c>
      <c r="B25" s="15">
        <v>2023</v>
      </c>
      <c r="C25" s="15">
        <v>3.8806147910778099</v>
      </c>
      <c r="D25" s="15">
        <v>4.3307333402863302</v>
      </c>
      <c r="E25" s="17">
        <v>1.45</v>
      </c>
      <c r="F25" s="15">
        <v>1.45</v>
      </c>
      <c r="G25" s="15">
        <v>10.174377</v>
      </c>
      <c r="H25" s="15">
        <v>7.5150798720000003</v>
      </c>
      <c r="I25" s="15">
        <v>8.9180031950000007</v>
      </c>
      <c r="J25" s="15">
        <v>7.6417145900000003</v>
      </c>
      <c r="K25" s="15">
        <v>10.342380950000001</v>
      </c>
      <c r="L25" s="15">
        <v>7.1344285709999999</v>
      </c>
      <c r="M25" s="15">
        <v>8.8847857139999995</v>
      </c>
      <c r="N25" s="15">
        <v>7.4028571430000003</v>
      </c>
      <c r="O25" s="15">
        <v>10.52362847</v>
      </c>
      <c r="P25" s="15">
        <v>7.622693452</v>
      </c>
      <c r="Q25" s="15">
        <v>9.1074125739999996</v>
      </c>
      <c r="R25" s="15">
        <v>7.7352628970000001</v>
      </c>
      <c r="S25" s="15">
        <v>11.040672170000001</v>
      </c>
      <c r="T25" s="15">
        <v>8.2159256480000007</v>
      </c>
      <c r="U25" s="15">
        <v>9.6830107020000007</v>
      </c>
      <c r="V25" s="13">
        <f t="shared" si="0"/>
        <v>3.8806147910778099</v>
      </c>
      <c r="Z25" s="1">
        <v>3.0016069999999999</v>
      </c>
      <c r="AA25" s="4">
        <f>EXP(Z25)</f>
        <v>20.117840329858662</v>
      </c>
      <c r="AB25" s="4">
        <f t="shared" si="1"/>
        <v>20.117839999999916</v>
      </c>
      <c r="AC25" s="4">
        <f>AVERAGE(ABS((AB25-AA25)/AB25))</f>
        <v>1.6396330149730735E-8</v>
      </c>
      <c r="AD25" s="4">
        <f>(ABS((V26-Z25)/V26))</f>
        <v>5.4625172985702297E-9</v>
      </c>
    </row>
    <row r="26" spans="1:30" x14ac:dyDescent="0.3">
      <c r="A26" s="16">
        <v>2023</v>
      </c>
      <c r="B26" s="15">
        <v>2024</v>
      </c>
      <c r="C26" s="15">
        <v>3.0016069836036698</v>
      </c>
      <c r="D26" s="15">
        <v>3.4011973816621599</v>
      </c>
      <c r="E26" s="17">
        <v>1.19</v>
      </c>
      <c r="F26" s="15">
        <v>1.19</v>
      </c>
      <c r="G26" s="15">
        <v>9.7985410010000003</v>
      </c>
      <c r="H26" s="15">
        <v>7.5280830669999999</v>
      </c>
      <c r="I26" s="15">
        <v>8.6063258789999999</v>
      </c>
      <c r="J26" s="15">
        <v>7.4034611290000001</v>
      </c>
      <c r="K26" s="15">
        <v>9.7153333330000002</v>
      </c>
      <c r="L26" s="15">
        <v>7.1267142860000003</v>
      </c>
      <c r="M26" s="15">
        <v>8.4311785710000002</v>
      </c>
      <c r="N26" s="15">
        <v>7.095904762</v>
      </c>
      <c r="O26" s="15">
        <v>9.9768849209999999</v>
      </c>
      <c r="P26" s="15">
        <v>7.5311458330000001</v>
      </c>
      <c r="Q26" s="15">
        <v>8.6912946430000009</v>
      </c>
      <c r="R26" s="15">
        <v>7.4057738100000003</v>
      </c>
      <c r="S26" s="15">
        <v>10.68258606</v>
      </c>
      <c r="T26" s="15">
        <v>8.2124821630000007</v>
      </c>
      <c r="U26" s="15">
        <v>9.3492386409999995</v>
      </c>
      <c r="V26" s="13">
        <f t="shared" si="0"/>
        <v>3.0016069836036698</v>
      </c>
      <c r="Z26" s="1">
        <v>3.0568399999999998</v>
      </c>
      <c r="AA26" s="4">
        <f>EXP(Z26)</f>
        <v>21.260268453547457</v>
      </c>
      <c r="AB26" s="4">
        <f t="shared" si="1"/>
        <v>21.260273999999946</v>
      </c>
      <c r="AC26" s="4">
        <f t="shared" ref="AC26" si="2">AVERAGE(ABS((AB26-AA26)/AB26))</f>
        <v>2.6088339634771563E-7</v>
      </c>
      <c r="AD26" s="4">
        <f>(ABS((V27-Z26)/V27))</f>
        <v>8.5344148908418001E-8</v>
      </c>
    </row>
    <row r="27" spans="1:30" x14ac:dyDescent="0.3">
      <c r="A27" s="16">
        <v>2024</v>
      </c>
      <c r="B27" s="15">
        <v>2025</v>
      </c>
      <c r="C27" s="15">
        <v>3.0568402608834302</v>
      </c>
      <c r="D27" s="15">
        <v>3.8501476017100602</v>
      </c>
      <c r="E27" s="17">
        <v>1.66</v>
      </c>
      <c r="F27" s="15">
        <v>1.66</v>
      </c>
      <c r="G27" s="15">
        <v>9.7114909479999998</v>
      </c>
      <c r="H27" s="15">
        <v>7.7647284350000003</v>
      </c>
      <c r="I27" s="15">
        <v>8.8216293930000003</v>
      </c>
      <c r="J27" s="15">
        <v>7.915111821</v>
      </c>
      <c r="K27" s="15">
        <v>9.8605238100000001</v>
      </c>
      <c r="L27" s="15">
        <v>7.4074285709999996</v>
      </c>
      <c r="M27" s="15">
        <v>8.7976785710000005</v>
      </c>
      <c r="N27" s="15">
        <v>7.6458095239999997</v>
      </c>
      <c r="O27" s="15">
        <v>9.9495362099999998</v>
      </c>
      <c r="P27" s="15">
        <v>7.809858631</v>
      </c>
      <c r="Q27" s="15">
        <v>8.9255915179999992</v>
      </c>
      <c r="R27" s="15">
        <v>7.9167559519999999</v>
      </c>
      <c r="S27" s="15">
        <v>10.487754410000001</v>
      </c>
      <c r="T27" s="15">
        <v>8.4563912880000007</v>
      </c>
      <c r="U27" s="15">
        <v>9.5132040930000006</v>
      </c>
      <c r="V27" s="13">
        <f t="shared" si="0"/>
        <v>3.0568402608834302</v>
      </c>
      <c r="X27" s="5" t="s">
        <v>52</v>
      </c>
      <c r="Z27" s="1">
        <v>3.0445220000000002</v>
      </c>
      <c r="AA27" s="4">
        <f>EXP(Z27)</f>
        <v>20.999990807810132</v>
      </c>
      <c r="AB27" s="4">
        <f t="shared" si="1"/>
        <v>20.999999999999936</v>
      </c>
      <c r="AC27" s="4">
        <f>AVERAGE(ABS((AB27-AA27)/AB27))</f>
        <v>4.37723323999861E-7</v>
      </c>
      <c r="AD27" s="4">
        <f>(ABS((V28-Z27)/V28))</f>
        <v>1.4377408236810967E-7</v>
      </c>
    </row>
    <row r="28" spans="1:30" x14ac:dyDescent="0.3">
      <c r="A28" s="16">
        <v>2025</v>
      </c>
      <c r="B28" s="15">
        <v>2026</v>
      </c>
      <c r="C28" s="15">
        <v>3.0445224377234199</v>
      </c>
      <c r="D28" s="15">
        <v>5.0172798368149198</v>
      </c>
      <c r="E28" s="17">
        <v>1.29</v>
      </c>
      <c r="F28" s="15">
        <v>1.29</v>
      </c>
      <c r="G28" s="15">
        <v>9.4923961660000007</v>
      </c>
      <c r="H28" s="15">
        <v>7.4699041529999999</v>
      </c>
      <c r="I28" s="15">
        <v>8.5599680510000002</v>
      </c>
      <c r="J28" s="15">
        <v>7.5707241749999996</v>
      </c>
      <c r="K28" s="15">
        <v>9.4088571430000005</v>
      </c>
      <c r="L28" s="15">
        <v>7.0549999999999997</v>
      </c>
      <c r="M28" s="15">
        <v>8.3411071430000003</v>
      </c>
      <c r="N28" s="15">
        <v>7.1945238099999997</v>
      </c>
      <c r="O28" s="15">
        <v>9.5727926589999992</v>
      </c>
      <c r="P28" s="15">
        <v>7.3894791670000002</v>
      </c>
      <c r="Q28" s="15">
        <v>8.5357012650000001</v>
      </c>
      <c r="R28" s="15">
        <v>7.4593105160000004</v>
      </c>
      <c r="S28" s="15">
        <v>10.24852422</v>
      </c>
      <c r="T28" s="15">
        <v>8.0233909130000001</v>
      </c>
      <c r="U28" s="15">
        <v>9.2301999620000004</v>
      </c>
      <c r="V28" s="13">
        <f t="shared" si="0"/>
        <v>3.0445224377234199</v>
      </c>
      <c r="X28" s="6" t="s">
        <v>53</v>
      </c>
      <c r="Z28" t="s">
        <v>51</v>
      </c>
    </row>
    <row r="29" spans="1:30" x14ac:dyDescent="0.3">
      <c r="A29" s="18">
        <v>2026</v>
      </c>
      <c r="B29" s="19">
        <v>2027</v>
      </c>
      <c r="C29" s="19"/>
      <c r="D29" s="19">
        <v>6.14418563412565</v>
      </c>
      <c r="E29" s="19">
        <v>3.51</v>
      </c>
      <c r="F29" s="19">
        <v>3.51</v>
      </c>
      <c r="G29" s="19">
        <v>9.1987433440000004</v>
      </c>
      <c r="H29" s="19">
        <v>6.9222683710000004</v>
      </c>
      <c r="I29" s="19">
        <v>8.2138418529999999</v>
      </c>
      <c r="J29" s="19">
        <v>7.2437486690000004</v>
      </c>
      <c r="K29" s="19">
        <v>9.1326666670000005</v>
      </c>
      <c r="L29" s="19">
        <v>6.406285714</v>
      </c>
      <c r="M29" s="19">
        <v>7.9201785710000001</v>
      </c>
      <c r="N29" s="19">
        <v>6.7729999999999997</v>
      </c>
      <c r="O29" s="19">
        <v>9.3776314480000007</v>
      </c>
      <c r="P29" s="19">
        <v>6.9844791669999999</v>
      </c>
      <c r="Q29" s="19">
        <v>8.2191834079999992</v>
      </c>
      <c r="R29" s="19">
        <v>7.1907217259999996</v>
      </c>
      <c r="S29" s="19">
        <v>10.2363625</v>
      </c>
      <c r="T29" s="19">
        <v>7.9258129930000001</v>
      </c>
      <c r="U29" s="19">
        <v>9.0877140440000002</v>
      </c>
      <c r="V29" s="20"/>
    </row>
    <row r="30" spans="1:30" x14ac:dyDescent="0.3">
      <c r="A30" s="12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s="14"/>
      <c r="AC30" s="4">
        <f>AVERAGE(AC23:AC27)</f>
        <v>3.6774417362065007E-2</v>
      </c>
      <c r="AD30" s="4">
        <f>AVERAGE(AD23:AD27)</f>
        <v>1.3979636610996887E-2</v>
      </c>
    </row>
    <row r="31" spans="1:30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s="14"/>
    </row>
    <row r="32" spans="1:30" x14ac:dyDescent="0.3">
      <c r="E32" t="s">
        <v>22</v>
      </c>
      <c r="F32"/>
      <c r="G32"/>
      <c r="H32"/>
      <c r="I32"/>
      <c r="J32"/>
      <c r="K32"/>
      <c r="L32"/>
      <c r="M32"/>
      <c r="O32" s="2">
        <v>1997</v>
      </c>
      <c r="P32" s="2">
        <v>2018</v>
      </c>
      <c r="Q32" s="2">
        <v>2025</v>
      </c>
      <c r="R32" s="2">
        <v>5</v>
      </c>
    </row>
    <row r="33" spans="5:18" ht="15" thickBot="1" x14ac:dyDescent="0.35">
      <c r="E33"/>
      <c r="F33"/>
      <c r="G33"/>
      <c r="H33"/>
      <c r="I33"/>
      <c r="J33"/>
      <c r="K33"/>
      <c r="L33"/>
      <c r="M33"/>
      <c r="O33" s="2">
        <v>1997</v>
      </c>
      <c r="P33" s="2">
        <v>2013</v>
      </c>
      <c r="Q33" s="2">
        <v>2025</v>
      </c>
      <c r="R33" s="2">
        <v>10</v>
      </c>
    </row>
    <row r="34" spans="5:18" x14ac:dyDescent="0.3">
      <c r="E34" s="11" t="s">
        <v>23</v>
      </c>
      <c r="F34" s="11"/>
      <c r="G34"/>
      <c r="H34"/>
      <c r="I34"/>
      <c r="J34"/>
      <c r="K34"/>
      <c r="L34"/>
      <c r="M34"/>
      <c r="O34" s="2">
        <v>1997</v>
      </c>
      <c r="P34" s="2">
        <v>2017</v>
      </c>
      <c r="Q34" s="2">
        <v>2024</v>
      </c>
      <c r="R34" s="2">
        <v>5</v>
      </c>
    </row>
    <row r="35" spans="5:18" x14ac:dyDescent="0.3">
      <c r="E35" s="8" t="s">
        <v>24</v>
      </c>
      <c r="F35" s="8">
        <v>0.78617697054778823</v>
      </c>
      <c r="G35"/>
      <c r="H35"/>
      <c r="I35"/>
      <c r="J35"/>
      <c r="K35"/>
      <c r="L35"/>
      <c r="M35"/>
      <c r="O35" s="2">
        <v>1997</v>
      </c>
      <c r="P35" s="2">
        <v>2012</v>
      </c>
      <c r="Q35" s="2">
        <v>2024</v>
      </c>
      <c r="R35" s="2">
        <v>10</v>
      </c>
    </row>
    <row r="36" spans="5:18" x14ac:dyDescent="0.3">
      <c r="E36" s="8" t="s">
        <v>25</v>
      </c>
      <c r="F36" s="8">
        <v>0.61807422901969788</v>
      </c>
      <c r="G36"/>
      <c r="H36"/>
      <c r="I36"/>
      <c r="J36"/>
      <c r="K36"/>
      <c r="L36"/>
      <c r="M36"/>
    </row>
    <row r="37" spans="5:18" x14ac:dyDescent="0.3">
      <c r="E37" s="8" t="s">
        <v>26</v>
      </c>
      <c r="F37" s="8">
        <v>0.59897794047068276</v>
      </c>
      <c r="G37"/>
      <c r="H37"/>
      <c r="I37"/>
      <c r="J37"/>
      <c r="K37"/>
      <c r="L37"/>
      <c r="M37"/>
    </row>
    <row r="38" spans="5:18" x14ac:dyDescent="0.3">
      <c r="E38" s="8" t="s">
        <v>27</v>
      </c>
      <c r="F38" s="8">
        <v>0.44398934640822929</v>
      </c>
      <c r="G38"/>
      <c r="H38"/>
      <c r="I38"/>
      <c r="J38"/>
      <c r="K38"/>
      <c r="L38"/>
      <c r="M38"/>
    </row>
    <row r="39" spans="5:18" ht="15" thickBot="1" x14ac:dyDescent="0.35">
      <c r="E39" s="9" t="s">
        <v>28</v>
      </c>
      <c r="F39" s="9">
        <v>22</v>
      </c>
      <c r="G39"/>
      <c r="H39"/>
      <c r="I39"/>
      <c r="J39"/>
      <c r="K39"/>
      <c r="L39"/>
      <c r="M39"/>
    </row>
    <row r="40" spans="5:18" x14ac:dyDescent="0.3">
      <c r="E40"/>
      <c r="F40"/>
      <c r="G40"/>
      <c r="H40"/>
      <c r="I40"/>
      <c r="J40"/>
      <c r="K40"/>
      <c r="L40"/>
      <c r="M40"/>
    </row>
    <row r="41" spans="5:18" ht="15" thickBot="1" x14ac:dyDescent="0.35">
      <c r="E41" t="s">
        <v>29</v>
      </c>
      <c r="F41"/>
      <c r="G41"/>
      <c r="H41"/>
      <c r="I41"/>
      <c r="J41"/>
      <c r="K41"/>
      <c r="L41"/>
      <c r="M41"/>
    </row>
    <row r="42" spans="5:18" x14ac:dyDescent="0.3">
      <c r="E42" s="10"/>
      <c r="F42" s="10" t="s">
        <v>34</v>
      </c>
      <c r="G42" s="10" t="s">
        <v>35</v>
      </c>
      <c r="H42" s="10" t="s">
        <v>36</v>
      </c>
      <c r="I42" s="10" t="s">
        <v>37</v>
      </c>
      <c r="J42" s="10" t="s">
        <v>38</v>
      </c>
      <c r="K42"/>
      <c r="L42"/>
      <c r="M42"/>
    </row>
    <row r="43" spans="5:18" x14ac:dyDescent="0.3">
      <c r="E43" s="8" t="s">
        <v>30</v>
      </c>
      <c r="F43" s="8">
        <v>1</v>
      </c>
      <c r="G43" s="8">
        <v>6.3802363347468436</v>
      </c>
      <c r="H43" s="8">
        <v>6.3802363347468436</v>
      </c>
      <c r="I43" s="8">
        <v>32.366196574442483</v>
      </c>
      <c r="J43" s="8">
        <v>1.4413302132789562E-5</v>
      </c>
      <c r="K43"/>
      <c r="L43"/>
      <c r="M43"/>
    </row>
    <row r="44" spans="5:18" x14ac:dyDescent="0.3">
      <c r="E44" s="8" t="s">
        <v>31</v>
      </c>
      <c r="F44" s="8">
        <v>20</v>
      </c>
      <c r="G44" s="8">
        <v>3.9425307944801329</v>
      </c>
      <c r="H44" s="8">
        <v>0.19712653972400665</v>
      </c>
      <c r="I44" s="8"/>
      <c r="J44" s="8"/>
      <c r="K44"/>
      <c r="L44"/>
      <c r="M44"/>
    </row>
    <row r="45" spans="5:18" ht="15" thickBot="1" x14ac:dyDescent="0.35">
      <c r="E45" s="9" t="s">
        <v>32</v>
      </c>
      <c r="F45" s="9">
        <v>21</v>
      </c>
      <c r="G45" s="9">
        <v>10.322767129226976</v>
      </c>
      <c r="H45" s="9"/>
      <c r="I45" s="9"/>
      <c r="J45" s="9"/>
      <c r="K45"/>
      <c r="L45"/>
      <c r="M45"/>
    </row>
    <row r="46" spans="5:18" ht="15" thickBot="1" x14ac:dyDescent="0.35">
      <c r="E46"/>
      <c r="F46"/>
      <c r="G46"/>
      <c r="H46"/>
      <c r="I46"/>
      <c r="J46"/>
      <c r="K46"/>
      <c r="L46"/>
      <c r="M46"/>
    </row>
    <row r="47" spans="5:18" x14ac:dyDescent="0.3">
      <c r="E47" s="10"/>
      <c r="F47" s="10" t="s">
        <v>39</v>
      </c>
      <c r="G47" s="10" t="s">
        <v>27</v>
      </c>
      <c r="H47" s="10" t="s">
        <v>40</v>
      </c>
      <c r="I47" s="10" t="s">
        <v>41</v>
      </c>
      <c r="J47" s="10" t="s">
        <v>42</v>
      </c>
      <c r="K47" s="10" t="s">
        <v>43</v>
      </c>
      <c r="L47" s="10" t="s">
        <v>44</v>
      </c>
      <c r="M47" s="10" t="s">
        <v>45</v>
      </c>
    </row>
    <row r="48" spans="5:18" x14ac:dyDescent="0.3">
      <c r="E48" s="8" t="s">
        <v>33</v>
      </c>
      <c r="F48" s="8">
        <v>2.3289756633119438</v>
      </c>
      <c r="G48" s="8">
        <v>0.22241593713323435</v>
      </c>
      <c r="H48" s="8">
        <v>10.471262506323061</v>
      </c>
      <c r="I48" s="8">
        <v>1.4504725986520358E-9</v>
      </c>
      <c r="J48" s="8">
        <v>1.8650241483626344</v>
      </c>
      <c r="K48" s="8">
        <v>2.792927178261253</v>
      </c>
      <c r="L48" s="8">
        <v>1.8650241483626344</v>
      </c>
      <c r="M48" s="8">
        <v>2.792927178261253</v>
      </c>
    </row>
    <row r="49" spans="1:14" ht="15" thickBot="1" x14ac:dyDescent="0.35">
      <c r="E49" s="9" t="s">
        <v>46</v>
      </c>
      <c r="F49" s="9">
        <v>0.4306855014533818</v>
      </c>
      <c r="G49" s="9">
        <v>7.5703231476276223E-2</v>
      </c>
      <c r="H49" s="9">
        <v>5.6891296851489024</v>
      </c>
      <c r="I49" s="9">
        <v>1.441330213278964E-5</v>
      </c>
      <c r="J49" s="9">
        <v>0.27277132775396296</v>
      </c>
      <c r="K49" s="9">
        <v>0.58859967515280065</v>
      </c>
      <c r="L49" s="9">
        <v>0.27277132775396296</v>
      </c>
      <c r="M49" s="9">
        <v>0.58859967515280065</v>
      </c>
    </row>
    <row r="50" spans="1:14" x14ac:dyDescent="0.3">
      <c r="E50"/>
      <c r="F50"/>
      <c r="G50"/>
      <c r="H50"/>
      <c r="I50"/>
      <c r="J50"/>
      <c r="K50"/>
      <c r="L50"/>
      <c r="M50"/>
    </row>
    <row r="51" spans="1:14" x14ac:dyDescent="0.3">
      <c r="E51"/>
      <c r="F51"/>
      <c r="G51"/>
      <c r="H51"/>
      <c r="I51"/>
      <c r="J51"/>
      <c r="K51"/>
      <c r="L51"/>
      <c r="M51"/>
    </row>
    <row r="52" spans="1:14" x14ac:dyDescent="0.3">
      <c r="E52"/>
      <c r="F52"/>
      <c r="G52"/>
      <c r="H52"/>
      <c r="I52"/>
      <c r="J52"/>
      <c r="K52"/>
      <c r="L52"/>
      <c r="M52"/>
    </row>
    <row r="57" spans="1:14" x14ac:dyDescent="0.3">
      <c r="A57" t="s">
        <v>54</v>
      </c>
      <c r="B57" t="s">
        <v>4</v>
      </c>
      <c r="C57">
        <v>0.32082677999999998</v>
      </c>
      <c r="D57">
        <v>6.2E-2</v>
      </c>
      <c r="E57">
        <v>5.1710000000000003</v>
      </c>
      <c r="F57">
        <v>0</v>
      </c>
      <c r="G57" s="2">
        <f>C5</f>
        <v>4.2050455869413401</v>
      </c>
      <c r="K57" s="2" t="s">
        <v>60</v>
      </c>
      <c r="L57" s="2" t="s">
        <v>61</v>
      </c>
      <c r="M57" s="2" t="s">
        <v>62</v>
      </c>
      <c r="N57" s="2" t="s">
        <v>63</v>
      </c>
    </row>
    <row r="58" spans="1:14" x14ac:dyDescent="0.3">
      <c r="A58" t="s">
        <v>54</v>
      </c>
      <c r="B58" t="s">
        <v>55</v>
      </c>
      <c r="C58">
        <v>0.43302768000000003</v>
      </c>
      <c r="D58">
        <v>0.151</v>
      </c>
      <c r="E58">
        <v>2.8730000000000002</v>
      </c>
      <c r="F58">
        <v>8.9999999999999993E-3</v>
      </c>
      <c r="J58" s="2">
        <v>1</v>
      </c>
      <c r="K58" s="2" t="s">
        <v>58</v>
      </c>
      <c r="L58" s="2">
        <v>1E-3</v>
      </c>
      <c r="M58" s="2" t="s">
        <v>56</v>
      </c>
      <c r="N58" s="2">
        <v>3.748297</v>
      </c>
    </row>
    <row r="59" spans="1:14" x14ac:dyDescent="0.3">
      <c r="A59" t="s">
        <v>54</v>
      </c>
      <c r="B59" t="s">
        <v>18</v>
      </c>
      <c r="C59">
        <v>-0.34187332999999998</v>
      </c>
      <c r="D59">
        <v>0.09</v>
      </c>
      <c r="E59">
        <v>-3.8149999999999999</v>
      </c>
      <c r="F59">
        <v>1E-3</v>
      </c>
      <c r="J59" s="2">
        <v>2</v>
      </c>
      <c r="K59" s="2" t="s">
        <v>58</v>
      </c>
      <c r="L59" s="2">
        <v>1E-3</v>
      </c>
      <c r="M59" s="2" t="s">
        <v>57</v>
      </c>
      <c r="N59" s="2">
        <v>4.354374</v>
      </c>
    </row>
    <row r="60" spans="1:14" x14ac:dyDescent="0.3">
      <c r="J60" s="2">
        <v>3</v>
      </c>
      <c r="K60" s="2" t="s">
        <v>58</v>
      </c>
      <c r="L60" s="2">
        <v>1E-3</v>
      </c>
      <c r="M60" s="2" t="s">
        <v>56</v>
      </c>
      <c r="N60" s="2">
        <v>3.0081039999999999</v>
      </c>
    </row>
    <row r="61" spans="1:14" x14ac:dyDescent="0.3">
      <c r="J61" s="2">
        <v>4</v>
      </c>
      <c r="K61" s="2" t="s">
        <v>58</v>
      </c>
      <c r="L61" s="2">
        <v>1E-3</v>
      </c>
      <c r="M61" s="2" t="s">
        <v>57</v>
      </c>
      <c r="N61" s="2">
        <v>4.2050460000000003</v>
      </c>
    </row>
    <row r="62" spans="1:14" x14ac:dyDescent="0.3">
      <c r="J62" s="2">
        <v>5</v>
      </c>
      <c r="K62" s="2" t="s">
        <v>58</v>
      </c>
      <c r="L62" s="2">
        <v>1E-3</v>
      </c>
      <c r="M62" s="2" t="s">
        <v>56</v>
      </c>
      <c r="N62" s="2">
        <v>3.813647</v>
      </c>
    </row>
    <row r="63" spans="1:14" x14ac:dyDescent="0.3">
      <c r="J63" s="2">
        <v>6</v>
      </c>
      <c r="K63" s="2" t="s">
        <v>58</v>
      </c>
      <c r="L63" s="2">
        <v>1E-3</v>
      </c>
      <c r="M63" s="2" t="s">
        <v>57</v>
      </c>
      <c r="N63" s="2">
        <v>3.9601790000000001</v>
      </c>
    </row>
    <row r="64" spans="1:14" x14ac:dyDescent="0.3">
      <c r="J64" s="2">
        <v>7</v>
      </c>
      <c r="K64" s="2" t="s">
        <v>58</v>
      </c>
      <c r="L64" s="2">
        <v>1E-3</v>
      </c>
      <c r="M64" s="2" t="s">
        <v>56</v>
      </c>
      <c r="N64" s="2">
        <v>3.8135219999999999</v>
      </c>
    </row>
    <row r="65" spans="8:14" x14ac:dyDescent="0.3">
      <c r="J65" s="2">
        <v>8</v>
      </c>
      <c r="K65" s="2" t="s">
        <v>58</v>
      </c>
      <c r="L65" s="2">
        <v>1E-3</v>
      </c>
      <c r="M65" s="2" t="s">
        <v>57</v>
      </c>
      <c r="N65" s="2">
        <v>4.0795940000000002</v>
      </c>
    </row>
    <row r="66" spans="8:14" x14ac:dyDescent="0.3">
      <c r="J66" s="2">
        <v>9</v>
      </c>
      <c r="K66" s="2" t="s">
        <v>58</v>
      </c>
      <c r="L66" s="2">
        <v>1E-3</v>
      </c>
      <c r="M66" s="2" t="s">
        <v>56</v>
      </c>
      <c r="N66" s="2">
        <v>2.451565</v>
      </c>
    </row>
    <row r="67" spans="8:14" x14ac:dyDescent="0.3">
      <c r="J67" s="2">
        <v>10</v>
      </c>
      <c r="K67" s="2" t="s">
        <v>58</v>
      </c>
      <c r="L67" s="2">
        <v>1E-3</v>
      </c>
      <c r="M67" s="2" t="s">
        <v>57</v>
      </c>
      <c r="N67" s="2">
        <v>3.8021280000000002</v>
      </c>
    </row>
    <row r="68" spans="8:14" x14ac:dyDescent="0.3">
      <c r="H68" s="2" t="s">
        <v>59</v>
      </c>
      <c r="J68" s="2">
        <v>11</v>
      </c>
      <c r="K68" s="2" t="s">
        <v>58</v>
      </c>
      <c r="L68" s="2">
        <v>1E-3</v>
      </c>
      <c r="M68" s="2" t="s">
        <v>56</v>
      </c>
      <c r="N68" s="2">
        <v>2.76688</v>
      </c>
    </row>
    <row r="69" spans="8:14" x14ac:dyDescent="0.3">
      <c r="J69" s="2">
        <v>12</v>
      </c>
      <c r="K69" s="2" t="s">
        <v>58</v>
      </c>
      <c r="L69" s="2">
        <v>1E-3</v>
      </c>
      <c r="M69" s="2" t="s">
        <v>57</v>
      </c>
      <c r="N69" s="2">
        <v>4.0755359999999996</v>
      </c>
    </row>
    <row r="70" spans="8:14" x14ac:dyDescent="0.3">
      <c r="J70" s="2">
        <v>13</v>
      </c>
      <c r="K70" s="2" t="s">
        <v>58</v>
      </c>
      <c r="L70" s="2">
        <v>1E-3</v>
      </c>
      <c r="M70" s="2" t="s">
        <v>56</v>
      </c>
      <c r="N70" s="2">
        <v>3.0576279999999998</v>
      </c>
    </row>
    <row r="71" spans="8:14" x14ac:dyDescent="0.3">
      <c r="J71" s="2">
        <v>14</v>
      </c>
      <c r="K71" s="2" t="s">
        <v>58</v>
      </c>
      <c r="L71" s="2">
        <v>1E-3</v>
      </c>
      <c r="M71" s="2" t="s">
        <v>57</v>
      </c>
      <c r="N71" s="2">
        <v>4.5509190000000004</v>
      </c>
    </row>
    <row r="72" spans="8:14" x14ac:dyDescent="0.3">
      <c r="J72" s="2">
        <v>15</v>
      </c>
      <c r="K72" s="2" t="s">
        <v>58</v>
      </c>
      <c r="L72" s="2">
        <v>1E-3</v>
      </c>
      <c r="M72" s="2" t="s">
        <v>56</v>
      </c>
      <c r="N72" s="2">
        <v>3.6156060000000001</v>
      </c>
    </row>
    <row r="73" spans="8:14" x14ac:dyDescent="0.3">
      <c r="J73" s="2">
        <v>16</v>
      </c>
      <c r="K73" s="2" t="s">
        <v>58</v>
      </c>
      <c r="L73" s="2">
        <v>1E-3</v>
      </c>
      <c r="M73" s="2" t="s">
        <v>57</v>
      </c>
      <c r="N73" s="2">
        <v>3.5579890000000001</v>
      </c>
    </row>
    <row r="74" spans="8:14" x14ac:dyDescent="0.3">
      <c r="J74" s="2">
        <v>17</v>
      </c>
      <c r="K74" s="2" t="s">
        <v>58</v>
      </c>
      <c r="L74" s="2">
        <v>1E-3</v>
      </c>
      <c r="M74" s="2" t="s">
        <v>56</v>
      </c>
      <c r="N74" s="2">
        <v>2.9109479999999999</v>
      </c>
    </row>
    <row r="75" spans="8:14" x14ac:dyDescent="0.3">
      <c r="J75" s="2">
        <v>18</v>
      </c>
      <c r="K75" s="2" t="s">
        <v>58</v>
      </c>
      <c r="L75" s="2">
        <v>1E-3</v>
      </c>
      <c r="M75" s="2" t="s">
        <v>57</v>
      </c>
      <c r="N75" s="2">
        <v>3.5477409999999998</v>
      </c>
    </row>
    <row r="76" spans="8:14" x14ac:dyDescent="0.3">
      <c r="J76" s="2">
        <v>19</v>
      </c>
      <c r="K76" s="2" t="s">
        <v>58</v>
      </c>
      <c r="L76" s="2">
        <v>1E-3</v>
      </c>
      <c r="M76" s="2" t="s">
        <v>56</v>
      </c>
      <c r="N76" s="2">
        <v>2.0878679999999998</v>
      </c>
    </row>
    <row r="77" spans="8:14" x14ac:dyDescent="0.3">
      <c r="J77" s="2">
        <v>20</v>
      </c>
      <c r="K77" s="2" t="s">
        <v>58</v>
      </c>
      <c r="L77" s="2">
        <v>1E-3</v>
      </c>
      <c r="M77" s="2" t="s">
        <v>57</v>
      </c>
      <c r="N77" s="2">
        <v>3.0512570000000001</v>
      </c>
    </row>
    <row r="78" spans="8:14" x14ac:dyDescent="0.3">
      <c r="J78" s="2">
        <v>21</v>
      </c>
      <c r="K78" s="2" t="s">
        <v>58</v>
      </c>
      <c r="L78" s="2">
        <v>1E-3</v>
      </c>
      <c r="M78" s="2" t="s">
        <v>56</v>
      </c>
      <c r="N78" s="2">
        <v>2.0872839999999999</v>
      </c>
    </row>
    <row r="79" spans="8:14" x14ac:dyDescent="0.3">
      <c r="J79" s="2">
        <v>22</v>
      </c>
      <c r="K79" s="2" t="s">
        <v>58</v>
      </c>
      <c r="L79" s="2">
        <v>1</v>
      </c>
      <c r="M79" s="2" t="s">
        <v>57</v>
      </c>
      <c r="N79" s="2">
        <v>3.882145</v>
      </c>
    </row>
    <row r="80" spans="8:14" x14ac:dyDescent="0.3">
      <c r="J80" s="2">
        <v>23</v>
      </c>
      <c r="K80" s="2" t="s">
        <v>58</v>
      </c>
      <c r="L80" s="2">
        <v>1</v>
      </c>
      <c r="M80" s="2" t="s">
        <v>56</v>
      </c>
      <c r="N80" s="2">
        <v>2.9068550000000002</v>
      </c>
    </row>
    <row r="81" spans="10:14" x14ac:dyDescent="0.3">
      <c r="J81" s="2">
        <v>24</v>
      </c>
      <c r="K81" s="2" t="s">
        <v>58</v>
      </c>
      <c r="L81" s="2">
        <v>1</v>
      </c>
      <c r="M81" s="2" t="s">
        <v>57</v>
      </c>
      <c r="N81" s="2">
        <v>3.8806150000000001</v>
      </c>
    </row>
    <row r="82" spans="10:14" x14ac:dyDescent="0.3">
      <c r="J82" s="2">
        <v>25</v>
      </c>
      <c r="K82" s="2" t="s">
        <v>58</v>
      </c>
      <c r="L82" s="2">
        <v>1</v>
      </c>
      <c r="M82" s="2" t="s">
        <v>56</v>
      </c>
      <c r="N82" s="2">
        <v>3.0016069999999999</v>
      </c>
    </row>
    <row r="83" spans="10:14" x14ac:dyDescent="0.3">
      <c r="J83" s="2">
        <v>26</v>
      </c>
      <c r="K83" s="2" t="s">
        <v>58</v>
      </c>
      <c r="L83" s="2">
        <v>1</v>
      </c>
      <c r="M83" s="2" t="s">
        <v>57</v>
      </c>
      <c r="N83" s="2">
        <v>3.0568399999999998</v>
      </c>
    </row>
    <row r="84" spans="10:14" x14ac:dyDescent="0.3">
      <c r="J84" s="2">
        <v>27</v>
      </c>
      <c r="K84" s="2" t="s">
        <v>58</v>
      </c>
      <c r="L84" s="2">
        <v>1</v>
      </c>
      <c r="M84" s="2" t="s">
        <v>56</v>
      </c>
      <c r="N84" s="2">
        <v>3.0445220000000002</v>
      </c>
    </row>
    <row r="85" spans="10:14" x14ac:dyDescent="0.3">
      <c r="J85" s="2">
        <v>28</v>
      </c>
      <c r="K85" s="2" t="s">
        <v>58</v>
      </c>
      <c r="L85" s="2">
        <v>1</v>
      </c>
      <c r="M85" s="2" t="s">
        <v>57</v>
      </c>
      <c r="N85" s="2" t="s">
        <v>64</v>
      </c>
    </row>
  </sheetData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f_model_one_step_ahead_func_ex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2023-10-06T20:18:46Z</dcterms:created>
  <dcterms:modified xsi:type="dcterms:W3CDTF">2026-09-14T19:07:31Z</dcterms:modified>
</cp:coreProperties>
</file>